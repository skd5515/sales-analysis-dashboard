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ca00d2b476d0741/Documents/Custom Office Templates/BUSINESS BOX/BUSINESS BOX/CERTIFICATIONS/Euron_BA/ASSIGNMENTS_BA/Assignment_1/"/>
    </mc:Choice>
  </mc:AlternateContent>
  <xr:revisionPtr revIDLastSave="771" documentId="8_{DC4BDBC0-68C4-46EE-A921-76ADC60CA004}" xr6:coauthVersionLast="47" xr6:coauthVersionMax="47" xr10:uidLastSave="{3DB5C846-4E32-4111-B191-77D772A479D9}"/>
  <bookViews>
    <workbookView xWindow="-30828" yWindow="2904" windowWidth="30936" windowHeight="17496" tabRatio="500" firstSheet="1" activeTab="6" xr2:uid="{00000000-000D-0000-FFFF-FFFF00000000}"/>
  </bookViews>
  <sheets>
    <sheet name="Order Data" sheetId="2" r:id="rId1"/>
    <sheet name="Salesperson Master" sheetId="1" r:id="rId2"/>
    <sheet name="Discount per region" sheetId="5" r:id="rId3"/>
    <sheet name=" Regenew trend" sheetId="7" r:id="rId4"/>
    <sheet name="Sales performance" sheetId="8" r:id="rId5"/>
    <sheet name="KPI" sheetId="11" r:id="rId6"/>
    <sheet name="Dash board" sheetId="9" r:id="rId7"/>
  </sheets>
  <calcPr calcId="191029" iterateDelta="1E-4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I101" i="2"/>
  <c r="I100" i="2"/>
  <c r="J100" i="2" s="1"/>
  <c r="K100" i="2" s="1"/>
  <c r="I99" i="2"/>
  <c r="I98" i="2"/>
  <c r="I97" i="2"/>
  <c r="I96" i="2"/>
  <c r="J96" i="2" s="1"/>
  <c r="K96" i="2" s="1"/>
  <c r="I95" i="2"/>
  <c r="I94" i="2"/>
  <c r="I93" i="2"/>
  <c r="I92" i="2"/>
  <c r="J92" i="2" s="1"/>
  <c r="K92" i="2" s="1"/>
  <c r="I91" i="2"/>
  <c r="I90" i="2"/>
  <c r="I89" i="2"/>
  <c r="I88" i="2"/>
  <c r="J88" i="2" s="1"/>
  <c r="K88" i="2" s="1"/>
  <c r="I87" i="2"/>
  <c r="I86" i="2"/>
  <c r="J86" i="2" s="1"/>
  <c r="K86" i="2" s="1"/>
  <c r="I85" i="2"/>
  <c r="I84" i="2"/>
  <c r="J84" i="2" s="1"/>
  <c r="K84" i="2" s="1"/>
  <c r="I83" i="2"/>
  <c r="I82" i="2"/>
  <c r="J82" i="2" s="1"/>
  <c r="K82" i="2" s="1"/>
  <c r="I81" i="2"/>
  <c r="I80" i="2"/>
  <c r="J80" i="2" s="1"/>
  <c r="K80" i="2" s="1"/>
  <c r="I79" i="2"/>
  <c r="I78" i="2"/>
  <c r="J78" i="2" s="1"/>
  <c r="K78" i="2" s="1"/>
  <c r="I77" i="2"/>
  <c r="I76" i="2"/>
  <c r="J76" i="2" s="1"/>
  <c r="K76" i="2" s="1"/>
  <c r="I75" i="2"/>
  <c r="I74" i="2"/>
  <c r="I73" i="2"/>
  <c r="I72" i="2"/>
  <c r="J72" i="2" s="1"/>
  <c r="K72" i="2" s="1"/>
  <c r="I71" i="2"/>
  <c r="I70" i="2"/>
  <c r="J70" i="2" s="1"/>
  <c r="K70" i="2" s="1"/>
  <c r="I69" i="2"/>
  <c r="I68" i="2"/>
  <c r="J68" i="2" s="1"/>
  <c r="K68" i="2" s="1"/>
  <c r="I67" i="2"/>
  <c r="I66" i="2"/>
  <c r="I65" i="2"/>
  <c r="I64" i="2"/>
  <c r="J64" i="2" s="1"/>
  <c r="K64" i="2" s="1"/>
  <c r="I63" i="2"/>
  <c r="I62" i="2"/>
  <c r="I61" i="2"/>
  <c r="I60" i="2"/>
  <c r="J60" i="2" s="1"/>
  <c r="K60" i="2" s="1"/>
  <c r="I59" i="2"/>
  <c r="I58" i="2"/>
  <c r="I57" i="2"/>
  <c r="I56" i="2"/>
  <c r="J56" i="2" s="1"/>
  <c r="K56" i="2" s="1"/>
  <c r="I55" i="2"/>
  <c r="I54" i="2"/>
  <c r="I53" i="2"/>
  <c r="I52" i="2"/>
  <c r="J52" i="2" s="1"/>
  <c r="K52" i="2" s="1"/>
  <c r="I51" i="2"/>
  <c r="I50" i="2"/>
  <c r="I49" i="2"/>
  <c r="I48" i="2"/>
  <c r="J48" i="2" s="1"/>
  <c r="K48" i="2" s="1"/>
  <c r="I47" i="2"/>
  <c r="I46" i="2"/>
  <c r="J46" i="2" s="1"/>
  <c r="K46" i="2" s="1"/>
  <c r="I45" i="2"/>
  <c r="I44" i="2"/>
  <c r="J44" i="2" s="1"/>
  <c r="K44" i="2" s="1"/>
  <c r="I43" i="2"/>
  <c r="I42" i="2"/>
  <c r="J42" i="2" s="1"/>
  <c r="K42" i="2" s="1"/>
  <c r="I41" i="2"/>
  <c r="I40" i="2"/>
  <c r="J40" i="2" s="1"/>
  <c r="K40" i="2" s="1"/>
  <c r="I39" i="2"/>
  <c r="I38" i="2"/>
  <c r="J38" i="2" s="1"/>
  <c r="K38" i="2" s="1"/>
  <c r="I37" i="2"/>
  <c r="I36" i="2"/>
  <c r="J36" i="2" s="1"/>
  <c r="K36" i="2" s="1"/>
  <c r="I35" i="2"/>
  <c r="I34" i="2"/>
  <c r="J34" i="2" s="1"/>
  <c r="I33" i="2"/>
  <c r="I32" i="2"/>
  <c r="J32" i="2" s="1"/>
  <c r="K32" i="2" s="1"/>
  <c r="I31" i="2"/>
  <c r="I30" i="2"/>
  <c r="J30" i="2" s="1"/>
  <c r="K30" i="2" s="1"/>
  <c r="I29" i="2"/>
  <c r="I28" i="2"/>
  <c r="J28" i="2" s="1"/>
  <c r="K28" i="2" s="1"/>
  <c r="I27" i="2"/>
  <c r="I26" i="2"/>
  <c r="I25" i="2"/>
  <c r="I24" i="2"/>
  <c r="J24" i="2" s="1"/>
  <c r="K24" i="2" s="1"/>
  <c r="I23" i="2"/>
  <c r="I22" i="2"/>
  <c r="I21" i="2"/>
  <c r="I20" i="2"/>
  <c r="J20" i="2" s="1"/>
  <c r="K20" i="2" s="1"/>
  <c r="I19" i="2"/>
  <c r="I18" i="2"/>
  <c r="I17" i="2"/>
  <c r="I16" i="2"/>
  <c r="J16" i="2" s="1"/>
  <c r="K16" i="2" s="1"/>
  <c r="I15" i="2"/>
  <c r="I14" i="2"/>
  <c r="J14" i="2" s="1"/>
  <c r="K14" i="2" s="1"/>
  <c r="I13" i="2"/>
  <c r="I12" i="2"/>
  <c r="J12" i="2" s="1"/>
  <c r="K12" i="2" s="1"/>
  <c r="I11" i="2"/>
  <c r="I10" i="2"/>
  <c r="J10" i="2" s="1"/>
  <c r="I9" i="2"/>
  <c r="I8" i="2"/>
  <c r="J8" i="2" s="1"/>
  <c r="I7" i="2"/>
  <c r="I6" i="2"/>
  <c r="J6" i="2" s="1"/>
  <c r="K6" i="2" s="1"/>
  <c r="I5" i="2"/>
  <c r="I4" i="2"/>
  <c r="J4" i="2" s="1"/>
  <c r="K4" i="2" s="1"/>
  <c r="I3" i="2"/>
  <c r="I2" i="2"/>
  <c r="J2" i="2" s="1"/>
  <c r="K5" i="11"/>
  <c r="M5" i="11"/>
  <c r="L5" i="11"/>
  <c r="J5" i="11"/>
  <c r="I5" i="11"/>
  <c r="H5" i="11"/>
  <c r="J98" i="2" l="1"/>
  <c r="K98" i="2" s="1"/>
  <c r="J90" i="2"/>
  <c r="K90" i="2" s="1"/>
  <c r="K34" i="2"/>
  <c r="J74" i="2"/>
  <c r="K74" i="2" s="1"/>
  <c r="J94" i="2"/>
  <c r="K94" i="2" s="1"/>
  <c r="K2" i="2"/>
  <c r="K10" i="2"/>
  <c r="J22" i="2"/>
  <c r="K22" i="2" s="1"/>
  <c r="J54" i="2"/>
  <c r="K54" i="2" s="1"/>
  <c r="J66" i="2"/>
  <c r="K66" i="2" s="1"/>
  <c r="J26" i="2"/>
  <c r="K26" i="2" s="1"/>
  <c r="J58" i="2"/>
  <c r="K58" i="2" s="1"/>
  <c r="J50" i="2"/>
  <c r="K50" i="2" s="1"/>
  <c r="J18" i="2"/>
  <c r="K18" i="2" s="1"/>
  <c r="J62" i="2"/>
  <c r="K62" i="2" s="1"/>
  <c r="K8" i="2"/>
  <c r="J5" i="2"/>
  <c r="K5" i="2" s="1"/>
  <c r="J9" i="2"/>
  <c r="J13" i="2"/>
  <c r="K13" i="2" s="1"/>
  <c r="J17" i="2"/>
  <c r="K17" i="2" s="1"/>
  <c r="J21" i="2"/>
  <c r="K21" i="2" s="1"/>
  <c r="J25" i="2"/>
  <c r="K25" i="2" s="1"/>
  <c r="J29" i="2"/>
  <c r="K29" i="2" s="1"/>
  <c r="J33" i="2"/>
  <c r="K33" i="2" s="1"/>
  <c r="J37" i="2"/>
  <c r="K37" i="2" s="1"/>
  <c r="J41" i="2"/>
  <c r="K41" i="2" s="1"/>
  <c r="J45" i="2"/>
  <c r="K45" i="2" s="1"/>
  <c r="J49" i="2"/>
  <c r="K49" i="2" s="1"/>
  <c r="J53" i="2"/>
  <c r="K53" i="2" s="1"/>
  <c r="J57" i="2"/>
  <c r="K57" i="2" s="1"/>
  <c r="J61" i="2"/>
  <c r="K61" i="2" s="1"/>
  <c r="J65" i="2"/>
  <c r="K65" i="2" s="1"/>
  <c r="J69" i="2"/>
  <c r="K69" i="2" s="1"/>
  <c r="J73" i="2"/>
  <c r="K73" i="2" s="1"/>
  <c r="J77" i="2"/>
  <c r="K77" i="2" s="1"/>
  <c r="J81" i="2"/>
  <c r="K81" i="2" s="1"/>
  <c r="J85" i="2"/>
  <c r="K85" i="2" s="1"/>
  <c r="J89" i="2"/>
  <c r="K89" i="2" s="1"/>
  <c r="J93" i="2"/>
  <c r="K93" i="2" s="1"/>
  <c r="J97" i="2"/>
  <c r="K97" i="2" s="1"/>
  <c r="J101" i="2"/>
  <c r="K101" i="2" s="1"/>
  <c r="J3" i="2"/>
  <c r="K3" i="2" s="1"/>
  <c r="J7" i="2"/>
  <c r="K7" i="2" s="1"/>
  <c r="J11" i="2"/>
  <c r="K11" i="2" s="1"/>
  <c r="J15" i="2"/>
  <c r="K15" i="2" s="1"/>
  <c r="J19" i="2"/>
  <c r="K19" i="2" s="1"/>
  <c r="J23" i="2"/>
  <c r="K23" i="2" s="1"/>
  <c r="J27" i="2"/>
  <c r="K27" i="2" s="1"/>
  <c r="J31" i="2"/>
  <c r="K31" i="2" s="1"/>
  <c r="J35" i="2"/>
  <c r="K35" i="2" s="1"/>
  <c r="J39" i="2"/>
  <c r="K39" i="2" s="1"/>
  <c r="J43" i="2"/>
  <c r="K43" i="2" s="1"/>
  <c r="J47" i="2"/>
  <c r="K47" i="2" s="1"/>
  <c r="J51" i="2"/>
  <c r="K51" i="2" s="1"/>
  <c r="J55" i="2"/>
  <c r="K55" i="2" s="1"/>
  <c r="J59" i="2"/>
  <c r="K59" i="2" s="1"/>
  <c r="J63" i="2"/>
  <c r="K63" i="2" s="1"/>
  <c r="J67" i="2"/>
  <c r="K67" i="2" s="1"/>
  <c r="J71" i="2"/>
  <c r="K71" i="2" s="1"/>
  <c r="J75" i="2"/>
  <c r="K75" i="2" s="1"/>
  <c r="J79" i="2"/>
  <c r="K79" i="2" s="1"/>
  <c r="J83" i="2"/>
  <c r="K83" i="2" s="1"/>
  <c r="J87" i="2"/>
  <c r="K87" i="2" s="1"/>
  <c r="J91" i="2"/>
  <c r="K91" i="2" s="1"/>
  <c r="J95" i="2"/>
  <c r="K95" i="2" s="1"/>
  <c r="J99" i="2"/>
  <c r="K99" i="2" s="1"/>
  <c r="K9" i="2" l="1"/>
</calcChain>
</file>

<file path=xl/sharedStrings.xml><?xml version="1.0" encoding="utf-8"?>
<sst xmlns="http://schemas.openxmlformats.org/spreadsheetml/2006/main" count="552" uniqueCount="200">
  <si>
    <t>Salesperson ID</t>
  </si>
  <si>
    <t>Salesperson Name</t>
  </si>
  <si>
    <t>Region</t>
  </si>
  <si>
    <t>SP001</t>
  </si>
  <si>
    <t>Alice Johnson</t>
  </si>
  <si>
    <t>North</t>
  </si>
  <si>
    <t>SP002</t>
  </si>
  <si>
    <t>Bob Martinez</t>
  </si>
  <si>
    <t>South</t>
  </si>
  <si>
    <t>SP003</t>
  </si>
  <si>
    <t>Carol Lee</t>
  </si>
  <si>
    <t>East</t>
  </si>
  <si>
    <t>SP004</t>
  </si>
  <si>
    <t>David Kim</t>
  </si>
  <si>
    <t>West</t>
  </si>
  <si>
    <t>SP005</t>
  </si>
  <si>
    <t>Eva Brown</t>
  </si>
  <si>
    <t>SP006</t>
  </si>
  <si>
    <t>Frank Wilson</t>
  </si>
  <si>
    <t>SP007</t>
  </si>
  <si>
    <t>Grace Chen</t>
  </si>
  <si>
    <t>SP008</t>
  </si>
  <si>
    <t>Henry Davis</t>
  </si>
  <si>
    <t>SP009</t>
  </si>
  <si>
    <t>Iris Thompson</t>
  </si>
  <si>
    <t>SP010</t>
  </si>
  <si>
    <t>James White</t>
  </si>
  <si>
    <t>SP011</t>
  </si>
  <si>
    <t>Karen Harris</t>
  </si>
  <si>
    <t>SP012</t>
  </si>
  <si>
    <t>Leo Martinez</t>
  </si>
  <si>
    <t>SP013</t>
  </si>
  <si>
    <t>Mia Clark</t>
  </si>
  <si>
    <t>SP014</t>
  </si>
  <si>
    <t>Noah Lewis</t>
  </si>
  <si>
    <t>SP015</t>
  </si>
  <si>
    <t>Olivia Walker</t>
  </si>
  <si>
    <t>Order ID</t>
  </si>
  <si>
    <t>Order Date</t>
  </si>
  <si>
    <t>Product</t>
  </si>
  <si>
    <t>Category</t>
  </si>
  <si>
    <t>Quantity</t>
  </si>
  <si>
    <t>Unit Price ($)</t>
  </si>
  <si>
    <t>Discount %</t>
  </si>
  <si>
    <t>Order Amount ($)</t>
  </si>
  <si>
    <t>Discount Amount ($)</t>
  </si>
  <si>
    <t>Net Amount ($)</t>
  </si>
  <si>
    <t>ORD-0001</t>
  </si>
  <si>
    <t>Laptop</t>
  </si>
  <si>
    <t>Electronics</t>
  </si>
  <si>
    <t>ORD-0002</t>
  </si>
  <si>
    <t>Tablet</t>
  </si>
  <si>
    <t>ORD-0003</t>
  </si>
  <si>
    <t>Monitor</t>
  </si>
  <si>
    <t>ORD-0004</t>
  </si>
  <si>
    <t>Mouse</t>
  </si>
  <si>
    <t>Accessories</t>
  </si>
  <si>
    <t>ORD-0005</t>
  </si>
  <si>
    <t>Charger</t>
  </si>
  <si>
    <t>ORD-0006</t>
  </si>
  <si>
    <t>Webcam</t>
  </si>
  <si>
    <t>ORD-0007</t>
  </si>
  <si>
    <t>ORD-0008</t>
  </si>
  <si>
    <t>Headset</t>
  </si>
  <si>
    <t>ORD-0009</t>
  </si>
  <si>
    <t>ORD-0010</t>
  </si>
  <si>
    <t>Scanner</t>
  </si>
  <si>
    <t>Office</t>
  </si>
  <si>
    <t>ORD-0011</t>
  </si>
  <si>
    <t>ORD-0012</t>
  </si>
  <si>
    <t>Desk Chair</t>
  </si>
  <si>
    <t>Furniture</t>
  </si>
  <si>
    <t>ORD-0013</t>
  </si>
  <si>
    <t>ORD-0014</t>
  </si>
  <si>
    <t>ORD-0015</t>
  </si>
  <si>
    <t>Keyboard</t>
  </si>
  <si>
    <t>ORD-0016</t>
  </si>
  <si>
    <t>ORD-0017</t>
  </si>
  <si>
    <t>USB Hub</t>
  </si>
  <si>
    <t>ORD-0018</t>
  </si>
  <si>
    <t>ORD-0019</t>
  </si>
  <si>
    <t>Standing Desk</t>
  </si>
  <si>
    <t>ORD-0020</t>
  </si>
  <si>
    <t>ORD-0021</t>
  </si>
  <si>
    <t>Smartphone</t>
  </si>
  <si>
    <t>ORD-0022</t>
  </si>
  <si>
    <t>ORD-0023</t>
  </si>
  <si>
    <t>ORD-0024</t>
  </si>
  <si>
    <t>ORD-0025</t>
  </si>
  <si>
    <t>Printer</t>
  </si>
  <si>
    <t>ORD-0026</t>
  </si>
  <si>
    <t>ORD-0027</t>
  </si>
  <si>
    <t>ORD-0028</t>
  </si>
  <si>
    <t>ORD-0029</t>
  </si>
  <si>
    <t>Router</t>
  </si>
  <si>
    <t>Networking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</si>
  <si>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</si>
  <si>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</si>
  <si>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</si>
  <si>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</si>
  <si>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</si>
  <si>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</si>
  <si>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</si>
  <si>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</si>
  <si>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</si>
  <si>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</si>
  <si>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</si>
  <si>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</si>
  <si>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</si>
  <si>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</si>
  <si>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</si>
  <si>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</si>
  <si>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</si>
  <si>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</si>
  <si>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</si>
  <si>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</si>
  <si>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</si>
  <si>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</si>
  <si>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</si>
  <si>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</si>
  <si>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</si>
  <si>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</si>
  <si>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</si>
  <si>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</si>
  <si>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</si>
  <si>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</si>
  <si>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</si>
  <si>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</si>
  <si>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</si>
  <si>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</si>
  <si>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</si>
  <si>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</si>
  <si>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</si>
  <si>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</si>
  <si>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</si>
  <si>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</si>
  <si>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</si>
  <si>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</si>
  <si>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</si>
  <si>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</si>
  <si>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</si>
  <si>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</si>
  <si>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</si>
  <si>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</si>
  <si>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</si>
  <si>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</si>
  <si>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</si>
  <si>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</si>
  <si>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</si>
  <si>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</si>
  <si>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</si>
  <si>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</si>
  <si>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</si>
  <si>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</si>
  <si>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</si>
  <si>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</si>
  <si>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</si>
  <si>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</si>
  <si>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</si>
  <si>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</si>
  <si>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</si>
  <si>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</si>
  <si>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</si>
  <si>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</si>
  <si>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</si>
  <si>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</si>
  <si>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</si>
  <si>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Row Labels</t>
  </si>
  <si>
    <t>Grand Total</t>
  </si>
  <si>
    <t>Sum of Discount Amount ($)</t>
  </si>
  <si>
    <t>Average of Discount %</t>
  </si>
  <si>
    <t>Total Discount Amount By Region</t>
  </si>
  <si>
    <t>Sales person ID status</t>
  </si>
  <si>
    <t>Sum of Net Amount ($)</t>
  </si>
  <si>
    <t>Column Labels</t>
  </si>
  <si>
    <t xml:space="preserve"> Monthly revenue trend for each product </t>
  </si>
  <si>
    <t>Discount 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</si>
  <si>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</si>
  <si>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</si>
  <si>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</si>
  <si>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</si>
  <si>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</si>
  <si>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</si>
  <si>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</si>
  <si>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</si>
  <si>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</si>
  <si>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</si>
  <si>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</si>
  <si>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</si>
  <si>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Order Amount ($)</t>
  </si>
  <si>
    <t>Count of Order ID</t>
  </si>
  <si>
    <t>Sum of Quantity</t>
  </si>
  <si>
    <t>Value for Display</t>
  </si>
  <si>
    <t>Net amount</t>
  </si>
  <si>
    <t>Order amount</t>
  </si>
  <si>
    <t>Discount amt</t>
  </si>
  <si>
    <t>Avg of Discount</t>
  </si>
  <si>
    <t>Order id count</t>
  </si>
  <si>
    <t xml:space="preserve">Total Product Count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</si>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</sst>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d\-mmm\-yyyy"/>
    <numFmt numFmtId="165" formatCode="&quot;$&quot;#,##0.00"/>
    <numFmt numFmtId="166" formatCode="_([$$-409]* #,##0.00_);_([$$-409]* \(#,##0.00\);_([$$-409]* &quot;-&quot;??_);_(@_)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11"/>
      <color theme="1"/>
      <name val="Calibri"/>
      <family val="2"/>
    </font>
    <font>
      <b/>
      <sz val="11"/>
      <color rgb="FFFFFFFF"/>
      <name val="Arial"/>
      <family val="2"/>
    </font>
    <font>
      <b/>
      <sz val="20"/>
      <color theme="1"/>
      <name val="Calibri"/>
      <family val="2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D5F5E3"/>
        <bgColor rgb="FFDEEAF1"/>
      </patternFill>
    </fill>
    <fill>
      <patternFill patternType="solid">
        <fgColor rgb="FFFEF9E7"/>
        <bgColor rgb="FFFFFFFF"/>
      </patternFill>
    </fill>
    <fill>
      <patternFill patternType="solid">
        <fgColor rgb="FFFDEDEC"/>
        <bgColor rgb="FFFEF9E7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EF9E7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66C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9" fontId="0" fillId="0" borderId="0" xfId="0" applyNumberFormat="1"/>
    <xf numFmtId="0" fontId="1" fillId="7" borderId="2" xfId="0" applyFont="1" applyFill="1" applyBorder="1" applyAlignment="1">
      <alignment horizontal="center" vertical="center" wrapText="1"/>
    </xf>
    <xf numFmtId="44" fontId="1" fillId="7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2" fillId="8" borderId="2" xfId="0" applyFont="1" applyFill="1" applyBorder="1" applyAlignment="1">
      <alignment horizontal="center"/>
    </xf>
    <xf numFmtId="164" fontId="2" fillId="8" borderId="2" xfId="0" applyNumberFormat="1" applyFont="1" applyFill="1" applyBorder="1" applyAlignment="1">
      <alignment horizontal="center"/>
    </xf>
    <xf numFmtId="0" fontId="2" fillId="8" borderId="2" xfId="0" applyFont="1" applyFill="1" applyBorder="1"/>
    <xf numFmtId="44" fontId="2" fillId="8" borderId="2" xfId="0" applyNumberFormat="1" applyFont="1" applyFill="1" applyBorder="1" applyAlignment="1">
      <alignment horizontal="right"/>
    </xf>
    <xf numFmtId="9" fontId="2" fillId="8" borderId="2" xfId="0" applyNumberFormat="1" applyFont="1" applyFill="1" applyBorder="1" applyAlignment="1">
      <alignment horizontal="center"/>
    </xf>
    <xf numFmtId="4" fontId="3" fillId="8" borderId="2" xfId="0" applyNumberFormat="1" applyFont="1" applyFill="1" applyBorder="1" applyAlignment="1">
      <alignment horizontal="right"/>
    </xf>
    <xf numFmtId="0" fontId="4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164" fontId="2" fillId="9" borderId="2" xfId="0" applyNumberFormat="1" applyFont="1" applyFill="1" applyBorder="1" applyAlignment="1">
      <alignment horizontal="center"/>
    </xf>
    <xf numFmtId="0" fontId="2" fillId="9" borderId="2" xfId="0" applyFont="1" applyFill="1" applyBorder="1"/>
    <xf numFmtId="44" fontId="2" fillId="9" borderId="2" xfId="0" applyNumberFormat="1" applyFont="1" applyFill="1" applyBorder="1" applyAlignment="1">
      <alignment horizontal="right"/>
    </xf>
    <xf numFmtId="9" fontId="2" fillId="9" borderId="2" xfId="0" applyNumberFormat="1" applyFont="1" applyFill="1" applyBorder="1" applyAlignment="1">
      <alignment horizontal="center"/>
    </xf>
    <xf numFmtId="4" fontId="3" fillId="9" borderId="2" xfId="0" applyNumberFormat="1" applyFont="1" applyFill="1" applyBorder="1" applyAlignment="1">
      <alignment horizontal="right"/>
    </xf>
    <xf numFmtId="4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right"/>
    </xf>
    <xf numFmtId="0" fontId="0" fillId="0" borderId="2" xfId="0" pivotButton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11" borderId="0" xfId="0" applyFill="1"/>
    <xf numFmtId="0" fontId="1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44" fontId="0" fillId="0" borderId="0" xfId="1" applyFont="1"/>
    <xf numFmtId="2" fontId="0" fillId="0" borderId="0" xfId="0" applyNumberFormat="1"/>
    <xf numFmtId="0" fontId="5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Border="1"/>
  </cellXfs>
  <cellStyles count="2">
    <cellStyle name="Currency" xfId="1" builtinId="4"/>
    <cellStyle name="Normal" xfId="0" builtinId="0"/>
  </cellStyles>
  <dxfs count="152"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0" formatCode="General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34" formatCode="_(&quot;$&quot;* #,##0.00_);_(&quot;$&quot;* \(#,##0.00\);_(&quot;$&quot;* &quot;-&quot;??_);_(@_)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DE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[Sales_Data_analysis.xlsx]Discount per region!PivotTable2</c:name>
    <c:fmtId val="5"/>
  </c:pivotSource>
  <c:chart>
    <c:autoTitleDeleted val="0"/>
    <c:pivotFmts>
      <c:pivotFmt>
        <c:idx val="0"/>
        <c:spPr>
          <a:gradFill>
            <a:gsLst>
              <a:gs pos="0">
                <a:schemeClr val="accent6">
                  <a:shade val="51000"/>
                </a:schemeClr>
              </a:gs>
              <a:gs pos="80000">
                <a:schemeClr val="accent6">
                  <a:shade val="93000"/>
                </a:schemeClr>
              </a:gs>
              <a:gs pos="100000">
                <a:schemeClr val="accent6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shade val="51000"/>
                </a:schemeClr>
              </a:gs>
              <a:gs pos="80000">
                <a:schemeClr val="accent6">
                  <a:shade val="93000"/>
                </a:schemeClr>
              </a:gs>
              <a:gs pos="100000">
                <a:schemeClr val="accent6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'Discount per region'!$B$3</c:f>
              <c:strCache>
                <c:ptCount val="1"/>
                <c:pt idx="0">
                  <c:v>Sum of Discount Amount ($)</c:v>
                </c:pt>
              </c:strCache>
            </c:strRef>
          </c:tx>
          <c:spPr>
            <a:gradFill>
              <a:gsLst>
                <a:gs pos="0">
                  <a:schemeClr val="accent6">
                    <a:shade val="51000"/>
                  </a:schemeClr>
                </a:gs>
                <a:gs pos="80000">
                  <a:schemeClr val="accent6">
                    <a:shade val="93000"/>
                  </a:schemeClr>
                </a:gs>
                <a:gs pos="100000">
                  <a:schemeClr val="accent6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'Discount per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'Discount per region'!$B$4:$B$8</c:f>
              <c:numCache>
                <c:formatCode>#,##0.00</c:formatCode>
                <c:ptCount val="4"/>
                <c:pt idx="0">
                  <c:v>48942.915500000003</c:v>
                </c:pt>
                <c:pt idx="1">
                  <c:v>26235.786499999998</c:v>
                </c:pt>
                <c:pt idx="2">
                  <c:v>25099.175499999994</c:v>
                </c:pt>
                <c:pt idx="3">
                  <c:v>20177.05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A-48D3-B6DD-F07FB8EC8F3F}"/>
            </c:ext>
          </c:extLst>
        </c:ser>
        <c:ser>
          <c:idx val="1"/>
          <c:order val="1"/>
          <c:tx>
            <c:strRef>
              <c:f>'Discount per region'!$C$3</c:f>
              <c:strCache>
                <c:ptCount val="1"/>
                <c:pt idx="0">
                  <c:v>Average of Discount %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51000"/>
                  </a:schemeClr>
                </a:gs>
                <a:gs pos="80000">
                  <a:schemeClr val="accent5">
                    <a:shade val="93000"/>
                  </a:schemeClr>
                </a:gs>
                <a:gs pos="100000">
                  <a:schemeClr val="accent5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'Discount per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'Discount per region'!$C$4:$C$8</c:f>
              <c:numCache>
                <c:formatCode>0%</c:formatCode>
                <c:ptCount val="4"/>
                <c:pt idx="0">
                  <c:v>0.13103448275862067</c:v>
                </c:pt>
                <c:pt idx="1">
                  <c:v>0.10370370370370369</c:v>
                </c:pt>
                <c:pt idx="2">
                  <c:v>0.13181818181818181</c:v>
                </c:pt>
                <c:pt idx="3">
                  <c:v>0.11590909090909091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A-48D3-B6DD-F07FB8EC8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6699040"/>
        <c:axId val="336685120"/>
        <c:axId val="0"/>
      </c:bar3DChart>
      <c:catAx>
        <c:axId val="3366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85120"/>
        <c:crosses val="autoZero"/>
        <c:auto val="1"/>
        <c:lblAlgn val="ctr"/>
        <c:lblOffset val="100"/>
        <c:noMultiLvlLbl val="0"/>
      </c:catAx>
      <c:valAx>
        <c:axId val="33668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 Regenew trend!PivotTable2</c:name>
    <c:fmtId val="7"/>
  </c:pivotSource>
  <c:chart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 Regenew trend'!$B$3:$B$6</c:f>
              <c:strCache>
                <c:ptCount val="1"/>
                <c:pt idx="0">
                  <c:v>Jan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trend'!$B$7:$B$22</c:f>
              <c:numCache>
                <c:formatCode>#,##0.00</c:formatCode>
                <c:ptCount val="15"/>
                <c:pt idx="1">
                  <c:v>12532.7925</c:v>
                </c:pt>
                <c:pt idx="5">
                  <c:v>29033.2075</c:v>
                </c:pt>
                <c:pt idx="6">
                  <c:v>4085.0325000000003</c:v>
                </c:pt>
                <c:pt idx="12">
                  <c:v>538.20799999999997</c:v>
                </c:pt>
                <c:pt idx="13">
                  <c:v>7197.16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A-435E-B75D-BDB66182A0B0}"/>
            </c:ext>
          </c:extLst>
        </c:ser>
        <c:ser>
          <c:idx val="1"/>
          <c:order val="1"/>
          <c:tx>
            <c:strRef>
              <c:f>' Regenew trend'!$C$3:$C$6</c:f>
              <c:strCache>
                <c:ptCount val="1"/>
                <c:pt idx="0">
                  <c:v>Feb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trend'!$C$7:$C$22</c:f>
              <c:numCache>
                <c:formatCode>#,##0.00</c:formatCode>
                <c:ptCount val="15"/>
                <c:pt idx="0">
                  <c:v>5620.6844999999994</c:v>
                </c:pt>
                <c:pt idx="1">
                  <c:v>6305.5125000000007</c:v>
                </c:pt>
                <c:pt idx="4">
                  <c:v>4747.8599999999997</c:v>
                </c:pt>
                <c:pt idx="5">
                  <c:v>10288.964999999998</c:v>
                </c:pt>
                <c:pt idx="6">
                  <c:v>34400.239000000001</c:v>
                </c:pt>
                <c:pt idx="7">
                  <c:v>4269.8159999999998</c:v>
                </c:pt>
                <c:pt idx="9">
                  <c:v>7602.9449999999997</c:v>
                </c:pt>
                <c:pt idx="10">
                  <c:v>19695</c:v>
                </c:pt>
                <c:pt idx="11">
                  <c:v>3469.2479999999996</c:v>
                </c:pt>
                <c:pt idx="12">
                  <c:v>3556.386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A-435E-B75D-BDB66182A0B0}"/>
            </c:ext>
          </c:extLst>
        </c:ser>
        <c:ser>
          <c:idx val="2"/>
          <c:order val="2"/>
          <c:tx>
            <c:strRef>
              <c:f>' Regenew trend'!$D$3:$D$6</c:f>
              <c:strCache>
                <c:ptCount val="1"/>
                <c:pt idx="0">
                  <c:v>Mar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trend'!$D$7:$D$22</c:f>
              <c:numCache>
                <c:formatCode>#,##0.00</c:formatCode>
                <c:ptCount val="15"/>
                <c:pt idx="0">
                  <c:v>10612.56</c:v>
                </c:pt>
                <c:pt idx="2">
                  <c:v>2256.41</c:v>
                </c:pt>
                <c:pt idx="3">
                  <c:v>30341.599999999999</c:v>
                </c:pt>
                <c:pt idx="7">
                  <c:v>26603.317000000003</c:v>
                </c:pt>
                <c:pt idx="11">
                  <c:v>21755.07</c:v>
                </c:pt>
                <c:pt idx="12">
                  <c:v>1448.1119999999999</c:v>
                </c:pt>
                <c:pt idx="14">
                  <c:v>5227.3560000000007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A-435E-B75D-BDB66182A0B0}"/>
            </c:ext>
          </c:extLst>
        </c:ser>
        <c:ser>
          <c:idx val="3"/>
          <c:order val="3"/>
          <c:tx>
            <c:strRef>
              <c:f>' Regenew trend'!$E$3:$E$6</c:f>
              <c:strCache>
                <c:ptCount val="1"/>
                <c:pt idx="0">
                  <c:v>Apr</c:v>
                </c:pt>
              </c:strCache>
            </c:strRef>
          </c:tx>
          <c:spPr>
            <a:gradFill>
              <a:gsLst>
                <a:gs pos="0">
                  <a:schemeClr val="accent4">
                    <a:shade val="51000"/>
                  </a:schemeClr>
                </a:gs>
                <a:gs pos="80000">
                  <a:schemeClr val="accent4">
                    <a:shade val="93000"/>
                  </a:schemeClr>
                </a:gs>
                <a:gs pos="100000">
                  <a:schemeClr val="accent4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trend'!$E$7:$E$22</c:f>
              <c:numCache>
                <c:formatCode>#,##0.00</c:formatCode>
                <c:ptCount val="15"/>
                <c:pt idx="0">
                  <c:v>14783.849999999999</c:v>
                </c:pt>
                <c:pt idx="2">
                  <c:v>11536.931</c:v>
                </c:pt>
                <c:pt idx="4">
                  <c:v>5499.6165000000001</c:v>
                </c:pt>
                <c:pt idx="5">
                  <c:v>2737.8</c:v>
                </c:pt>
                <c:pt idx="7">
                  <c:v>19173.36</c:v>
                </c:pt>
                <c:pt idx="9">
                  <c:v>409.72799999999995</c:v>
                </c:pt>
                <c:pt idx="13">
                  <c:v>26442.592000000001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FA-435E-B75D-BDB66182A0B0}"/>
            </c:ext>
          </c:extLst>
        </c:ser>
        <c:ser>
          <c:idx val="4"/>
          <c:order val="4"/>
          <c:tx>
            <c:strRef>
              <c:f>' Regenew trend'!$F$3:$F$6</c:f>
              <c:strCache>
                <c:ptCount val="1"/>
                <c:pt idx="0">
                  <c:v>May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51000"/>
                  </a:schemeClr>
                </a:gs>
                <a:gs pos="80000">
                  <a:schemeClr val="accent5">
                    <a:shade val="93000"/>
                  </a:schemeClr>
                </a:gs>
                <a:gs pos="100000">
                  <a:schemeClr val="accent5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trend'!$F$7:$F$22</c:f>
              <c:numCache>
                <c:formatCode>#,##0.00</c:formatCode>
                <c:ptCount val="15"/>
                <c:pt idx="0">
                  <c:v>4178.2170000000006</c:v>
                </c:pt>
                <c:pt idx="1">
                  <c:v>21718.53</c:v>
                </c:pt>
                <c:pt idx="2">
                  <c:v>12686.464</c:v>
                </c:pt>
                <c:pt idx="3">
                  <c:v>44260.546999999999</c:v>
                </c:pt>
                <c:pt idx="4">
                  <c:v>559.65</c:v>
                </c:pt>
                <c:pt idx="6">
                  <c:v>1808.6385</c:v>
                </c:pt>
                <c:pt idx="10">
                  <c:v>14300.0175</c:v>
                </c:pt>
                <c:pt idx="12">
                  <c:v>2514.8779999999997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FA-435E-B75D-BDB66182A0B0}"/>
            </c:ext>
          </c:extLst>
        </c:ser>
        <c:ser>
          <c:idx val="5"/>
          <c:order val="5"/>
          <c:tx>
            <c:strRef>
              <c:f>' Regenew trend'!$G$3:$G$6</c:f>
              <c:strCache>
                <c:ptCount val="1"/>
                <c:pt idx="0">
                  <c:v>Jun</c:v>
                </c:pt>
              </c:strCache>
            </c:strRef>
          </c:tx>
          <c:spPr>
            <a:gradFill>
              <a:gsLst>
                <a:gs pos="0">
                  <a:schemeClr val="accent6">
                    <a:shade val="51000"/>
                  </a:schemeClr>
                </a:gs>
                <a:gs pos="80000">
                  <a:schemeClr val="accent6">
                    <a:shade val="93000"/>
                  </a:schemeClr>
                </a:gs>
                <a:gs pos="100000">
                  <a:schemeClr val="accent6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trend'!$G$7:$G$22</c:f>
              <c:numCache>
                <c:formatCode>#,##0.00</c:formatCode>
                <c:ptCount val="15"/>
                <c:pt idx="0">
                  <c:v>23089.537499999999</c:v>
                </c:pt>
                <c:pt idx="6">
                  <c:v>9737.4424999999992</c:v>
                </c:pt>
                <c:pt idx="7">
                  <c:v>12829.180000000002</c:v>
                </c:pt>
                <c:pt idx="8">
                  <c:v>8256.8850000000002</c:v>
                </c:pt>
                <c:pt idx="9">
                  <c:v>14779.71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FA-435E-B75D-BDB66182A0B0}"/>
            </c:ext>
          </c:extLst>
        </c:ser>
        <c:ser>
          <c:idx val="6"/>
          <c:order val="6"/>
          <c:tx>
            <c:strRef>
              <c:f>' Regenew trend'!$H$3:$H$6</c:f>
              <c:strCache>
                <c:ptCount val="1"/>
                <c:pt idx="0">
                  <c:v>Jul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shade val="51000"/>
                  </a:schemeClr>
                </a:gs>
                <a:gs pos="80000">
                  <a:schemeClr val="accent1">
                    <a:lumMod val="60000"/>
                    <a:shade val="93000"/>
                  </a:schemeClr>
                </a:gs>
                <a:gs pos="100000">
                  <a:schemeClr val="accent1">
                    <a:lumMod val="60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trend'!$H$7:$H$22</c:f>
              <c:numCache>
                <c:formatCode>#,##0.00</c:formatCode>
                <c:ptCount val="15"/>
                <c:pt idx="5">
                  <c:v>17513.917999999998</c:v>
                </c:pt>
                <c:pt idx="6">
                  <c:v>5217.8999999999996</c:v>
                </c:pt>
                <c:pt idx="8">
                  <c:v>3605.8</c:v>
                </c:pt>
                <c:pt idx="9">
                  <c:v>19243.64</c:v>
                </c:pt>
                <c:pt idx="12">
                  <c:v>7126.4250000000002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A-435E-B75D-BDB66182A0B0}"/>
            </c:ext>
          </c:extLst>
        </c:ser>
        <c:ser>
          <c:idx val="7"/>
          <c:order val="7"/>
          <c:tx>
            <c:strRef>
              <c:f>' Regenew trend'!$I$3:$I$6</c:f>
              <c:strCache>
                <c:ptCount val="1"/>
                <c:pt idx="0">
                  <c:v>Aug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shade val="51000"/>
                  </a:schemeClr>
                </a:gs>
                <a:gs pos="80000">
                  <a:schemeClr val="accent2">
                    <a:lumMod val="60000"/>
                    <a:shade val="93000"/>
                  </a:schemeClr>
                </a:gs>
                <a:gs pos="100000">
                  <a:schemeClr val="accent2">
                    <a:lumMod val="60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trend'!$I$7:$I$22</c:f>
              <c:numCache>
                <c:formatCode>#,##0.00</c:formatCode>
                <c:ptCount val="15"/>
                <c:pt idx="0">
                  <c:v>5898.2</c:v>
                </c:pt>
                <c:pt idx="3">
                  <c:v>6426.8099999999995</c:v>
                </c:pt>
                <c:pt idx="4">
                  <c:v>13129.965</c:v>
                </c:pt>
                <c:pt idx="7">
                  <c:v>29132.079999999998</c:v>
                </c:pt>
                <c:pt idx="9">
                  <c:v>3981.1195000000002</c:v>
                </c:pt>
                <c:pt idx="14">
                  <c:v>23875.566000000003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FA-435E-B75D-BDB66182A0B0}"/>
            </c:ext>
          </c:extLst>
        </c:ser>
        <c:ser>
          <c:idx val="8"/>
          <c:order val="8"/>
          <c:tx>
            <c:strRef>
              <c:f>' Regenew trend'!$J$3:$J$6</c:f>
              <c:strCache>
                <c:ptCount val="1"/>
                <c:pt idx="0">
                  <c:v>Sep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60000"/>
                    <a:shade val="51000"/>
                  </a:schemeClr>
                </a:gs>
                <a:gs pos="80000">
                  <a:schemeClr val="accent3">
                    <a:lumMod val="60000"/>
                    <a:shade val="93000"/>
                  </a:schemeClr>
                </a:gs>
                <a:gs pos="100000">
                  <a:schemeClr val="accent3">
                    <a:lumMod val="60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trend'!$J$7:$J$22</c:f>
              <c:numCache>
                <c:formatCode>#,##0.00</c:formatCode>
                <c:ptCount val="15"/>
                <c:pt idx="4">
                  <c:v>5585.22</c:v>
                </c:pt>
                <c:pt idx="8">
                  <c:v>11799.0435</c:v>
                </c:pt>
                <c:pt idx="13">
                  <c:v>17502.400000000001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FA-435E-B75D-BDB66182A0B0}"/>
            </c:ext>
          </c:extLst>
        </c:ser>
        <c:ser>
          <c:idx val="9"/>
          <c:order val="9"/>
          <c:tx>
            <c:strRef>
              <c:f>' Regenew trend'!$K$3:$K$6</c:f>
              <c:strCache>
                <c:ptCount val="1"/>
                <c:pt idx="0">
                  <c:v>Oct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shade val="51000"/>
                  </a:schemeClr>
                </a:gs>
                <a:gs pos="80000">
                  <a:schemeClr val="accent4">
                    <a:lumMod val="60000"/>
                    <a:shade val="93000"/>
                  </a:schemeClr>
                </a:gs>
                <a:gs pos="100000">
                  <a:schemeClr val="accent4">
                    <a:lumMod val="60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trend'!$K$7:$K$22</c:f>
              <c:numCache>
                <c:formatCode>#,##0.00</c:formatCode>
                <c:ptCount val="15"/>
                <c:pt idx="0">
                  <c:v>9073.5750000000007</c:v>
                </c:pt>
                <c:pt idx="3">
                  <c:v>27693.369999999995</c:v>
                </c:pt>
                <c:pt idx="4">
                  <c:v>1509.7445</c:v>
                </c:pt>
                <c:pt idx="6">
                  <c:v>28034.441999999995</c:v>
                </c:pt>
                <c:pt idx="7">
                  <c:v>4440.4000000000005</c:v>
                </c:pt>
                <c:pt idx="9">
                  <c:v>9471.6270000000004</c:v>
                </c:pt>
                <c:pt idx="13">
                  <c:v>642.55999999999995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FA-435E-B75D-BDB66182A0B0}"/>
            </c:ext>
          </c:extLst>
        </c:ser>
        <c:ser>
          <c:idx val="10"/>
          <c:order val="10"/>
          <c:tx>
            <c:strRef>
              <c:f>' Regenew trend'!$L$3:$L$6</c:f>
              <c:strCache>
                <c:ptCount val="1"/>
                <c:pt idx="0">
                  <c:v>Nov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shade val="51000"/>
                  </a:schemeClr>
                </a:gs>
                <a:gs pos="80000">
                  <a:schemeClr val="accent5">
                    <a:lumMod val="60000"/>
                    <a:shade val="93000"/>
                  </a:schemeClr>
                </a:gs>
                <a:gs pos="100000">
                  <a:schemeClr val="accent5">
                    <a:lumMod val="60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trend'!$L$7:$L$22</c:f>
              <c:numCache>
                <c:formatCode>#,##0.00</c:formatCode>
                <c:ptCount val="15"/>
                <c:pt idx="2">
                  <c:v>2504.0659999999998</c:v>
                </c:pt>
                <c:pt idx="5">
                  <c:v>15849.371999999999</c:v>
                </c:pt>
                <c:pt idx="7">
                  <c:v>9469.2005000000008</c:v>
                </c:pt>
                <c:pt idx="14">
                  <c:v>28060.717499999999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FA-435E-B75D-BDB66182A0B0}"/>
            </c:ext>
          </c:extLst>
        </c:ser>
        <c:ser>
          <c:idx val="11"/>
          <c:order val="11"/>
          <c:tx>
            <c:strRef>
              <c:f>' Regenew trend'!$M$3:$M$6</c:f>
              <c:strCache>
                <c:ptCount val="1"/>
                <c:pt idx="0">
                  <c:v>Dec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shade val="51000"/>
                  </a:schemeClr>
                </a:gs>
                <a:gs pos="80000">
                  <a:schemeClr val="accent6">
                    <a:lumMod val="60000"/>
                    <a:shade val="93000"/>
                  </a:schemeClr>
                </a:gs>
                <a:gs pos="100000">
                  <a:schemeClr val="accent6">
                    <a:lumMod val="60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 Regenew trend'!$A$7:$A$22</c:f>
              <c:strCache>
                <c:ptCount val="15"/>
                <c:pt idx="0">
                  <c:v>Charger</c:v>
                </c:pt>
                <c:pt idx="1">
                  <c:v>Desk Chair</c:v>
                </c:pt>
                <c:pt idx="2">
                  <c:v>Headset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Router</c:v>
                </c:pt>
                <c:pt idx="9">
                  <c:v>Scanner</c:v>
                </c:pt>
                <c:pt idx="10">
                  <c:v>Smartphone</c:v>
                </c:pt>
                <c:pt idx="11">
                  <c:v>Standing Desk</c:v>
                </c:pt>
                <c:pt idx="12">
                  <c:v>Tablet</c:v>
                </c:pt>
                <c:pt idx="13">
                  <c:v>USB Hub</c:v>
                </c:pt>
                <c:pt idx="14">
                  <c:v>Webcam</c:v>
                </c:pt>
              </c:strCache>
            </c:strRef>
          </c:cat>
          <c:val>
            <c:numRef>
              <c:f>' Regenew trend'!$M$7:$M$22</c:f>
              <c:numCache>
                <c:formatCode>#,##0.00</c:formatCode>
                <c:ptCount val="15"/>
                <c:pt idx="1">
                  <c:v>3129.84</c:v>
                </c:pt>
                <c:pt idx="2">
                  <c:v>17813.401999999998</c:v>
                </c:pt>
                <c:pt idx="5">
                  <c:v>2828.55</c:v>
                </c:pt>
                <c:pt idx="8">
                  <c:v>4177.125</c:v>
                </c:pt>
                <c:pt idx="10">
                  <c:v>10011.366</c:v>
                </c:pt>
                <c:pt idx="11">
                  <c:v>18461.352000000003</c:v>
                </c:pt>
                <c:pt idx="12">
                  <c:v>3713.43</c:v>
                </c:pt>
                <c:pt idx="13">
                  <c:v>12523.32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FA-435E-B75D-BDB66182A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8680816"/>
        <c:axId val="1328681296"/>
      </c:barChart>
      <c:catAx>
        <c:axId val="132868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81296"/>
        <c:crosses val="autoZero"/>
        <c:auto val="1"/>
        <c:lblAlgn val="ctr"/>
        <c:lblOffset val="100"/>
        <c:noMultiLvlLbl val="0"/>
      </c:catAx>
      <c:valAx>
        <c:axId val="132868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5369067692081"/>
          <c:y val="0.25001328444656995"/>
          <c:w val="0.24744902783836634"/>
          <c:h val="0.59266897816036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[Sales_Data_analysis.xlsx]Sales performance!PivotTable9</c:name>
    <c:fmtId val="7"/>
  </c:pivotSource>
  <c:chart>
    <c:autoTitleDeleted val="1"/>
    <c:pivotFmts>
      <c:pivotFmt>
        <c:idx val="0"/>
        <c:spPr>
          <a:noFill/>
          <a:ln w="9525" cap="flat" cmpd="sng" algn="ctr">
            <a:solidFill>
              <a:schemeClr val="accent3"/>
            </a:solidFill>
            <a:miter lim="800000"/>
          </a:ln>
          <a:effectLst>
            <a:glow rad="63500">
              <a:schemeClr val="accent3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3"/>
            </a:solidFill>
            <a:miter lim="800000"/>
          </a:ln>
          <a:effectLst>
            <a:glow rad="63500">
              <a:schemeClr val="accent3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3"/>
            </a:solidFill>
            <a:miter lim="800000"/>
          </a:ln>
          <a:effectLst>
            <a:glow rad="63500">
              <a:schemeClr val="accent3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2072426788380188"/>
          <c:y val="0.17755784927995805"/>
          <c:w val="0.44203988473679429"/>
          <c:h val="0.766570379514505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performance'!$A$4:$A$19</c:f>
              <c:strCache>
                <c:ptCount val="15"/>
                <c:pt idx="0">
                  <c:v>Noah Lewis</c:v>
                </c:pt>
                <c:pt idx="1">
                  <c:v>James White</c:v>
                </c:pt>
                <c:pt idx="2">
                  <c:v>Frank Wilson</c:v>
                </c:pt>
                <c:pt idx="3">
                  <c:v>Mia Clark</c:v>
                </c:pt>
                <c:pt idx="4">
                  <c:v>Grace Chen</c:v>
                </c:pt>
                <c:pt idx="5">
                  <c:v>Henry Davis</c:v>
                </c:pt>
                <c:pt idx="6">
                  <c:v>Alice Johnson</c:v>
                </c:pt>
                <c:pt idx="7">
                  <c:v>Olivia Walker</c:v>
                </c:pt>
                <c:pt idx="8">
                  <c:v>Leo Martinez</c:v>
                </c:pt>
                <c:pt idx="9">
                  <c:v>Iris Thompson</c:v>
                </c:pt>
                <c:pt idx="10">
                  <c:v>Bob Martinez</c:v>
                </c:pt>
                <c:pt idx="11">
                  <c:v>David Kim</c:v>
                </c:pt>
                <c:pt idx="12">
                  <c:v>Carol Lee</c:v>
                </c:pt>
                <c:pt idx="13">
                  <c:v>Eva Brown</c:v>
                </c:pt>
                <c:pt idx="14">
                  <c:v>Karen Harris</c:v>
                </c:pt>
              </c:strCache>
            </c:strRef>
          </c:cat>
          <c:val>
            <c:numRef>
              <c:f>'Sales performance'!$B$4:$B$19</c:f>
              <c:numCache>
                <c:formatCode>#,##0.00</c:formatCode>
                <c:ptCount val="15"/>
                <c:pt idx="0">
                  <c:v>24552.964499999998</c:v>
                </c:pt>
                <c:pt idx="1">
                  <c:v>32579.024999999998</c:v>
                </c:pt>
                <c:pt idx="2">
                  <c:v>34160.244500000001</c:v>
                </c:pt>
                <c:pt idx="3">
                  <c:v>41705.034499999994</c:v>
                </c:pt>
                <c:pt idx="4">
                  <c:v>51024.201499999996</c:v>
                </c:pt>
                <c:pt idx="5">
                  <c:v>52660.325499999999</c:v>
                </c:pt>
                <c:pt idx="6">
                  <c:v>54256.069999999992</c:v>
                </c:pt>
                <c:pt idx="7">
                  <c:v>57535.618000000002</c:v>
                </c:pt>
                <c:pt idx="8">
                  <c:v>63711.9755</c:v>
                </c:pt>
                <c:pt idx="9">
                  <c:v>65775.099500000011</c:v>
                </c:pt>
                <c:pt idx="10">
                  <c:v>72152.310499999992</c:v>
                </c:pt>
                <c:pt idx="11">
                  <c:v>74668.559000000008</c:v>
                </c:pt>
                <c:pt idx="12">
                  <c:v>75726.857000000004</c:v>
                </c:pt>
                <c:pt idx="13">
                  <c:v>77614.159500000009</c:v>
                </c:pt>
                <c:pt idx="14">
                  <c:v>104214.158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1-49DA-9620-8394289CE5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688043536"/>
        <c:axId val="1688040176"/>
      </c:barChart>
      <c:catAx>
        <c:axId val="1688043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40176"/>
        <c:crosses val="autoZero"/>
        <c:auto val="1"/>
        <c:lblAlgn val="ctr"/>
        <c:lblOffset val="100"/>
        <c:noMultiLvlLbl val="0"/>
      </c:catAx>
      <c:valAx>
        <c:axId val="1688040176"/>
        <c:scaling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extTo"/>
        <c:crossAx val="168804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[Sales_Data_analysis.xlsx]Discount per region!PivotTable2</c:name>
    <c:fmtId val="11"/>
  </c:pivotSource>
  <c:chart>
    <c:autoTitleDeleted val="0"/>
    <c:pivotFmts>
      <c:pivotFmt>
        <c:idx val="0"/>
        <c:spPr>
          <a:gradFill>
            <a:gsLst>
              <a:gs pos="0">
                <a:schemeClr val="accent6">
                  <a:shade val="51000"/>
                </a:schemeClr>
              </a:gs>
              <a:gs pos="80000">
                <a:schemeClr val="accent6">
                  <a:shade val="93000"/>
                </a:schemeClr>
              </a:gs>
              <a:gs pos="100000">
                <a:schemeClr val="accent6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shade val="51000"/>
                </a:schemeClr>
              </a:gs>
              <a:gs pos="80000">
                <a:schemeClr val="accent6">
                  <a:shade val="93000"/>
                </a:schemeClr>
              </a:gs>
              <a:gs pos="100000">
                <a:schemeClr val="accent6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shade val="51000"/>
                </a:schemeClr>
              </a:gs>
              <a:gs pos="80000">
                <a:schemeClr val="accent6">
                  <a:shade val="93000"/>
                </a:schemeClr>
              </a:gs>
              <a:gs pos="100000">
                <a:schemeClr val="accent6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6">
                  <a:shade val="51000"/>
                </a:schemeClr>
              </a:gs>
              <a:gs pos="80000">
                <a:schemeClr val="accent6">
                  <a:shade val="93000"/>
                </a:schemeClr>
              </a:gs>
              <a:gs pos="100000">
                <a:schemeClr val="accent6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6">
                  <a:shade val="51000"/>
                </a:schemeClr>
              </a:gs>
              <a:gs pos="80000">
                <a:schemeClr val="accent6">
                  <a:shade val="93000"/>
                </a:schemeClr>
              </a:gs>
              <a:gs pos="100000">
                <a:schemeClr val="accent6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6">
                  <a:shade val="51000"/>
                </a:schemeClr>
              </a:gs>
              <a:gs pos="80000">
                <a:schemeClr val="accent6">
                  <a:shade val="93000"/>
                </a:schemeClr>
              </a:gs>
              <a:gs pos="100000">
                <a:schemeClr val="accent6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'Discount per region'!$B$3</c:f>
              <c:strCache>
                <c:ptCount val="1"/>
                <c:pt idx="0">
                  <c:v>Sum of Discount Amount ($)</c:v>
                </c:pt>
              </c:strCache>
            </c:strRef>
          </c:tx>
          <c:spPr>
            <a:gradFill>
              <a:gsLst>
                <a:gs pos="0">
                  <a:schemeClr val="accent6">
                    <a:shade val="51000"/>
                  </a:schemeClr>
                </a:gs>
                <a:gs pos="80000">
                  <a:schemeClr val="accent6">
                    <a:shade val="93000"/>
                  </a:schemeClr>
                </a:gs>
                <a:gs pos="100000">
                  <a:schemeClr val="accent6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'Discount per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'Discount per region'!$B$4:$B$8</c:f>
              <c:numCache>
                <c:formatCode>#,##0.00</c:formatCode>
                <c:ptCount val="4"/>
                <c:pt idx="0">
                  <c:v>48942.915500000003</c:v>
                </c:pt>
                <c:pt idx="1">
                  <c:v>26235.786499999998</c:v>
                </c:pt>
                <c:pt idx="2">
                  <c:v>25099.175499999994</c:v>
                </c:pt>
                <c:pt idx="3">
                  <c:v>20177.05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1-4D14-B7FE-EB7682D520C6}"/>
            </c:ext>
          </c:extLst>
        </c:ser>
        <c:ser>
          <c:idx val="1"/>
          <c:order val="1"/>
          <c:tx>
            <c:strRef>
              <c:f>'Discount per region'!$C$3</c:f>
              <c:strCache>
                <c:ptCount val="1"/>
                <c:pt idx="0">
                  <c:v>Average of Discount %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51000"/>
                  </a:schemeClr>
                </a:gs>
                <a:gs pos="80000">
                  <a:schemeClr val="accent5">
                    <a:shade val="93000"/>
                  </a:schemeClr>
                </a:gs>
                <a:gs pos="100000">
                  <a:schemeClr val="accent5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'Discount per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'Discount per region'!$C$4:$C$8</c:f>
              <c:numCache>
                <c:formatCode>0%</c:formatCode>
                <c:ptCount val="4"/>
                <c:pt idx="0">
                  <c:v>0.13103448275862067</c:v>
                </c:pt>
                <c:pt idx="1">
                  <c:v>0.10370370370370369</c:v>
                </c:pt>
                <c:pt idx="2">
                  <c:v>0.13181818181818181</c:v>
                </c:pt>
                <c:pt idx="3">
                  <c:v>0.11590909090909091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1-4D14-B7FE-EB7682D52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6699040"/>
        <c:axId val="336685120"/>
        <c:axId val="0"/>
      </c:bar3DChart>
      <c:catAx>
        <c:axId val="3366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85120"/>
        <c:crosses val="autoZero"/>
        <c:auto val="1"/>
        <c:lblAlgn val="ctr"/>
        <c:lblOffset val="100"/>
        <c:noMultiLvlLbl val="0"/>
      </c:catAx>
      <c:valAx>
        <c:axId val="33668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[Sales_Data_analysis.xlsx] Regenew trend!PivotTable3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3">
                  <a:shade val="51000"/>
                </a:schemeClr>
              </a:gs>
              <a:gs pos="80000">
                <a:schemeClr val="accent3">
                  <a:shade val="93000"/>
                </a:schemeClr>
              </a:gs>
              <a:gs pos="100000">
                <a:schemeClr val="accent3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  <a:sp3d/>
        </c:spPr>
        <c:marker>
          <c:symbol val="circle"/>
          <c:size val="6"/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Regenew trend'!$B$25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 Regenew trend'!$A$26:$A$38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 Regenew trend'!$B$26:$B$38</c:f>
              <c:numCache>
                <c:formatCode>#,##0.00</c:formatCode>
                <c:ptCount val="12"/>
                <c:pt idx="0">
                  <c:v>53386.400500000003</c:v>
                </c:pt>
                <c:pt idx="1">
                  <c:v>99956.655999999988</c:v>
                </c:pt>
                <c:pt idx="2">
                  <c:v>98244.424999999988</c:v>
                </c:pt>
                <c:pt idx="3">
                  <c:v>80583.877500000002</c:v>
                </c:pt>
                <c:pt idx="4">
                  <c:v>102026.94199999998</c:v>
                </c:pt>
                <c:pt idx="5">
                  <c:v>68692.755000000005</c:v>
                </c:pt>
                <c:pt idx="6">
                  <c:v>52707.683000000005</c:v>
                </c:pt>
                <c:pt idx="7">
                  <c:v>82443.740499999985</c:v>
                </c:pt>
                <c:pt idx="8">
                  <c:v>34886.663500000002</c:v>
                </c:pt>
                <c:pt idx="9">
                  <c:v>80865.718499999988</c:v>
                </c:pt>
                <c:pt idx="10">
                  <c:v>55883.355999999992</c:v>
                </c:pt>
                <c:pt idx="11">
                  <c:v>72658.385000000009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4-4375-A32C-53892E218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3788847"/>
        <c:axId val="1553789327"/>
        <c:axId val="0"/>
      </c:bar3DChart>
      <c:catAx>
        <c:axId val="155378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89327"/>
        <c:crosses val="autoZero"/>
        <c:auto val="1"/>
        <c:lblAlgn val="ctr"/>
        <c:lblOffset val="100"/>
        <c:noMultiLvlLbl val="0"/>
      </c:catAx>
      <c:valAx>
        <c:axId val="155378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8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1640085</xdr:colOff>
      <xdr:row>9</xdr:row>
      <xdr:rowOff>3572</xdr:rowOff>
    </xdr:from>
    <xdr:to>
      <xdr:col>6</xdr:col>
      <xdr:colOff>122038</xdr:colOff>
      <xdr:row>24</xdr:row>
      <xdr:rowOff>72628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CEE47F-75F2-6C8A-6BDC-AD0A2BFF1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7075</xdr:colOff>
      <xdr:row>0</xdr:row>
      <xdr:rowOff>0</xdr:rowOff>
    </xdr:from>
    <xdr:to>
      <xdr:col>2</xdr:col>
      <xdr:colOff>68850</xdr:colOff>
      <xdr:row>31</xdr:row>
      <xdr:rowOff>53339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8CE04D-8370-F3C2-9FBF-6D9746C0138A}"/>
            </a:ext>
          </a:extLst>
        </xdr:cNvPr>
        <xdr:cNvSpPr/>
      </xdr:nvSpPr>
      <xdr:spPr>
        <a:xfrm>
          <a:off x="7075" y="0"/>
          <a:ext cx="1542232" cy="5626825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96728</xdr:colOff>
      <xdr:row>7</xdr:row>
      <xdr:rowOff>76238</xdr:rowOff>
    </xdr:from>
    <xdr:to>
      <xdr:col>1</xdr:col>
      <xdr:colOff>1098489</xdr:colOff>
      <xdr:row>9</xdr:row>
      <xdr:rowOff>101636</xdr:rowOff>
    </xdr:to>
    <xdr:sp macro="" textlink="KPI!H5">
      <xdr:nvSpPr>
        <xdr:cNvPr id="4" name="TextBox 3">
          <a:extLst>
            <a:ext uri="{FF2B5EF4-FFF2-40B4-BE49-F238E27FC236}">
              <a16:creationId xmlns:a16="http://schemas.microsoft.com/office/drawing/2014/main" id="{884EE80A-5D6E-CD85-2434-17AA4B5E9AAA}"/>
            </a:ext>
          </a:extLst>
        </xdr:cNvPr>
        <xdr:cNvSpPr txBox="1"/>
      </xdr:nvSpPr>
      <xdr:spPr>
        <a:xfrm>
          <a:off x="96728" y="1337002"/>
          <a:ext cx="1258070" cy="385616"/>
        </a:xfrm>
        <a:prstGeom prst="rect">
          <a:avLst/>
        </a:prstGeom>
        <a:solidFill>
          <a:schemeClr val="tx2"/>
        </a:solidFill>
        <a:ln w="9525" cmpd="sng">
          <a:noFill/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9B85678-CF45-4D3D-A7A9-3B191C1B6F7E}" type="TxLink">
            <a:rPr lang="en-US" sz="1100" b="1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pPr/>
            <a:t> $882,336.60 </a:t>
          </a:fld>
          <a:endParaRPr lang="en-US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67225</xdr:colOff>
      <xdr:row>19</xdr:row>
      <xdr:rowOff>52927</xdr:rowOff>
    </xdr:from>
    <xdr:to>
      <xdr:col>1</xdr:col>
      <xdr:colOff>1095521</xdr:colOff>
      <xdr:row>21</xdr:row>
      <xdr:rowOff>70078</xdr:rowOff>
    </xdr:to>
    <xdr:sp macro="" textlink="KPI!J5">
      <xdr:nvSpPr>
        <xdr:cNvPr id="6" name="TextBox 5">
          <a:extLst>
            <a:ext uri="{FF2B5EF4-FFF2-40B4-BE49-F238E27FC236}">
              <a16:creationId xmlns:a16="http://schemas.microsoft.com/office/drawing/2014/main" id="{AD83739D-706E-404E-AFA3-AC09D4106490}"/>
            </a:ext>
          </a:extLst>
        </xdr:cNvPr>
        <xdr:cNvSpPr txBox="1"/>
      </xdr:nvSpPr>
      <xdr:spPr>
        <a:xfrm>
          <a:off x="67225" y="3475000"/>
          <a:ext cx="1284605" cy="377369"/>
        </a:xfrm>
        <a:prstGeom prst="rect">
          <a:avLst/>
        </a:prstGeom>
        <a:solidFill>
          <a:schemeClr val="tx2"/>
        </a:solidFill>
        <a:ln w="9525" cmpd="sng">
          <a:noFill/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C05FCC7-470D-4C64-B446-035132464161}" type="TxLink">
            <a:rPr lang="en-US" sz="1100" b="1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pPr/>
            <a:t>$120,454.93</a:t>
          </a:fld>
          <a:endParaRPr lang="en-US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58652</xdr:colOff>
      <xdr:row>30</xdr:row>
      <xdr:rowOff>374394</xdr:rowOff>
    </xdr:from>
    <xdr:to>
      <xdr:col>1</xdr:col>
      <xdr:colOff>1106953</xdr:colOff>
      <xdr:row>30</xdr:row>
      <xdr:rowOff>809587</xdr:rowOff>
    </xdr:to>
    <xdr:sp macro="" textlink="KPI!M5">
      <xdr:nvSpPr>
        <xdr:cNvPr id="9" name="TextBox 8">
          <a:extLst>
            <a:ext uri="{FF2B5EF4-FFF2-40B4-BE49-F238E27FC236}">
              <a16:creationId xmlns:a16="http://schemas.microsoft.com/office/drawing/2014/main" id="{2BE2E1AC-4639-49CC-AFAB-E47939F0BF83}"/>
            </a:ext>
          </a:extLst>
        </xdr:cNvPr>
        <xdr:cNvSpPr txBox="1"/>
      </xdr:nvSpPr>
      <xdr:spPr>
        <a:xfrm>
          <a:off x="58652" y="6712849"/>
          <a:ext cx="1304610" cy="435193"/>
        </a:xfrm>
        <a:prstGeom prst="rect">
          <a:avLst/>
        </a:prstGeom>
        <a:solidFill>
          <a:schemeClr val="tx2"/>
        </a:solidFill>
        <a:ln w="9525" cmpd="sng">
          <a:noFill/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B7E359C-829A-4EE5-ADF2-7DC1BDEA1E65}" type="TxLink">
            <a:rPr lang="en-US" sz="1100" b="1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pPr/>
            <a:t>1032.00</a:t>
          </a:fld>
          <a:endParaRPr lang="en-US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67752</xdr:colOff>
      <xdr:row>0</xdr:row>
      <xdr:rowOff>0</xdr:rowOff>
    </xdr:from>
    <xdr:to>
      <xdr:col>18</xdr:col>
      <xdr:colOff>75099</xdr:colOff>
      <xdr:row>31</xdr:row>
      <xdr:rowOff>46400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3EEA56E-9F76-4528-B3C6-9EBD09A840F2}"/>
            </a:ext>
          </a:extLst>
        </xdr:cNvPr>
        <xdr:cNvSpPr/>
      </xdr:nvSpPr>
      <xdr:spPr>
        <a:xfrm>
          <a:off x="1543261" y="0"/>
          <a:ext cx="10031111" cy="732696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83407</xdr:colOff>
      <xdr:row>13</xdr:row>
      <xdr:rowOff>33355</xdr:rowOff>
    </xdr:from>
    <xdr:to>
      <xdr:col>1</xdr:col>
      <xdr:colOff>1098910</xdr:colOff>
      <xdr:row>15</xdr:row>
      <xdr:rowOff>96719</xdr:rowOff>
    </xdr:to>
    <xdr:sp macro="" textlink="KPI!I5">
      <xdr:nvSpPr>
        <xdr:cNvPr id="16" name="TextBox 15">
          <a:extLst>
            <a:ext uri="{FF2B5EF4-FFF2-40B4-BE49-F238E27FC236}">
              <a16:creationId xmlns:a16="http://schemas.microsoft.com/office/drawing/2014/main" id="{05643780-2851-1277-9DFB-FFA6938C889D}"/>
            </a:ext>
          </a:extLst>
        </xdr:cNvPr>
        <xdr:cNvSpPr txBox="1"/>
      </xdr:nvSpPr>
      <xdr:spPr>
        <a:xfrm>
          <a:off x="83407" y="2374773"/>
          <a:ext cx="1271812" cy="423582"/>
        </a:xfrm>
        <a:prstGeom prst="rect">
          <a:avLst/>
        </a:prstGeom>
        <a:solidFill>
          <a:schemeClr val="tx2"/>
        </a:solidFill>
        <a:ln w="9525" cmpd="sng">
          <a:noFill/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BAD9962-CEED-4D20-83AB-1AC1F82050F9}" type="TxLink">
            <a:rPr lang="en-US" sz="1100" b="1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pPr/>
            <a:t> $1,002,791.53 </a:t>
          </a:fld>
          <a:endParaRPr lang="en-US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76942</xdr:colOff>
      <xdr:row>25</xdr:row>
      <xdr:rowOff>621</xdr:rowOff>
    </xdr:from>
    <xdr:to>
      <xdr:col>1</xdr:col>
      <xdr:colOff>1105374</xdr:colOff>
      <xdr:row>27</xdr:row>
      <xdr:rowOff>43212</xdr:rowOff>
    </xdr:to>
    <xdr:sp macro="" textlink="KPI!K5">
      <xdr:nvSpPr>
        <xdr:cNvPr id="18" name="TextBox 17">
          <a:extLst>
            <a:ext uri="{FF2B5EF4-FFF2-40B4-BE49-F238E27FC236}">
              <a16:creationId xmlns:a16="http://schemas.microsoft.com/office/drawing/2014/main" id="{5DCC14FB-A7EB-7730-71B0-912E95E680A0}"/>
            </a:ext>
          </a:extLst>
        </xdr:cNvPr>
        <xdr:cNvSpPr txBox="1"/>
      </xdr:nvSpPr>
      <xdr:spPr>
        <a:xfrm>
          <a:off x="76942" y="4503348"/>
          <a:ext cx="1284741" cy="402809"/>
        </a:xfrm>
        <a:prstGeom prst="rect">
          <a:avLst/>
        </a:prstGeom>
        <a:solidFill>
          <a:schemeClr val="tx2"/>
        </a:solidFill>
        <a:ln w="9525" cmpd="sng">
          <a:noFill/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B859AED-2B30-4FC2-90A3-BF01554CE1C4}" type="TxLink">
            <a:rPr lang="en-US" sz="1100" b="1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pPr/>
            <a:t>12.05%</a:t>
          </a:fld>
          <a:endParaRPr lang="en-US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45614</xdr:colOff>
      <xdr:row>29</xdr:row>
      <xdr:rowOff>361731</xdr:rowOff>
    </xdr:from>
    <xdr:to>
      <xdr:col>1</xdr:col>
      <xdr:colOff>1089423</xdr:colOff>
      <xdr:row>29</xdr:row>
      <xdr:rowOff>826047</xdr:rowOff>
    </xdr:to>
    <xdr:sp macro="" textlink="KPI!L5">
      <xdr:nvSpPr>
        <xdr:cNvPr id="19" name="TextBox 18">
          <a:extLst>
            <a:ext uri="{FF2B5EF4-FFF2-40B4-BE49-F238E27FC236}">
              <a16:creationId xmlns:a16="http://schemas.microsoft.com/office/drawing/2014/main" id="{535D1C1D-BB10-AC5C-72E9-5D7C1C009A18}"/>
            </a:ext>
          </a:extLst>
        </xdr:cNvPr>
        <xdr:cNvSpPr txBox="1"/>
      </xdr:nvSpPr>
      <xdr:spPr>
        <a:xfrm>
          <a:off x="45614" y="5584895"/>
          <a:ext cx="1300118" cy="464316"/>
        </a:xfrm>
        <a:prstGeom prst="rect">
          <a:avLst/>
        </a:prstGeom>
        <a:solidFill>
          <a:schemeClr val="tx2"/>
        </a:solidFill>
        <a:ln w="9525" cmpd="sng">
          <a:noFill/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36E5671-B3B8-417E-A4E7-C9B04634C471}" type="TxLink">
            <a:rPr lang="en-US" sz="1100" b="1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pPr/>
            <a:t>100.00</a:t>
          </a:fld>
          <a:endParaRPr lang="en-US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101357</xdr:colOff>
      <xdr:row>4</xdr:row>
      <xdr:rowOff>173720</xdr:rowOff>
    </xdr:from>
    <xdr:to>
      <xdr:col>1</xdr:col>
      <xdr:colOff>1096720</xdr:colOff>
      <xdr:row>6</xdr:row>
      <xdr:rowOff>47038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F5AFEC-6F57-4B3B-C5F0-0A04D8DF848E}"/>
            </a:ext>
          </a:extLst>
        </xdr:cNvPr>
        <xdr:cNvSpPr txBox="1"/>
      </xdr:nvSpPr>
      <xdr:spPr>
        <a:xfrm>
          <a:off x="101357" y="894156"/>
          <a:ext cx="1251672" cy="233537"/>
        </a:xfrm>
        <a:prstGeom prst="rect">
          <a:avLst/>
        </a:prstGeom>
        <a:solidFill>
          <a:schemeClr val="tx2"/>
        </a:solidFill>
        <a:ln w="9525" cmpd="sng"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Net Amount</a:t>
          </a:r>
        </a:p>
      </xdr:txBody>
    </xdr:sp>
    <xdr:clientData/>
  </xdr:twoCellAnchor>
  <xdr:twoCellAnchor>
    <xdr:from>
      <xdr:col>0</xdr:col>
      <xdr:colOff>99452</xdr:colOff>
      <xdr:row>10</xdr:row>
      <xdr:rowOff>130836</xdr:rowOff>
    </xdr:from>
    <xdr:to>
      <xdr:col>1</xdr:col>
      <xdr:colOff>1097672</xdr:colOff>
      <xdr:row>12</xdr:row>
      <xdr:rowOff>4155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2B1AF1-1C11-403D-9195-AD10BFB76D22}"/>
            </a:ext>
          </a:extLst>
        </xdr:cNvPr>
        <xdr:cNvSpPr txBox="1"/>
      </xdr:nvSpPr>
      <xdr:spPr>
        <a:xfrm>
          <a:off x="99452" y="1931927"/>
          <a:ext cx="1254529" cy="233537"/>
        </a:xfrm>
        <a:prstGeom prst="rect">
          <a:avLst/>
        </a:prstGeom>
        <a:solidFill>
          <a:schemeClr val="tx2"/>
        </a:solidFill>
        <a:ln w="9525" cmpd="sng"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Order amount. </a:t>
          </a:r>
        </a:p>
      </xdr:txBody>
    </xdr:sp>
    <xdr:clientData/>
  </xdr:twoCellAnchor>
  <xdr:twoCellAnchor>
    <xdr:from>
      <xdr:col>0</xdr:col>
      <xdr:colOff>69133</xdr:colOff>
      <xdr:row>16</xdr:row>
      <xdr:rowOff>125919</xdr:rowOff>
    </xdr:from>
    <xdr:to>
      <xdr:col>1</xdr:col>
      <xdr:colOff>1098377</xdr:colOff>
      <xdr:row>18</xdr:row>
      <xdr:rowOff>23727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330DB0-1D74-462E-BEA1-60CC260EBCC3}"/>
            </a:ext>
          </a:extLst>
        </xdr:cNvPr>
        <xdr:cNvSpPr txBox="1"/>
      </xdr:nvSpPr>
      <xdr:spPr>
        <a:xfrm>
          <a:off x="69133" y="3007664"/>
          <a:ext cx="1285553" cy="258027"/>
        </a:xfrm>
        <a:prstGeom prst="rect">
          <a:avLst/>
        </a:prstGeom>
        <a:solidFill>
          <a:schemeClr val="tx2"/>
        </a:solidFill>
        <a:ln w="9525" cmpd="sng"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Discount amount </a:t>
          </a:r>
        </a:p>
      </xdr:txBody>
    </xdr:sp>
    <xdr:clientData/>
  </xdr:twoCellAnchor>
  <xdr:twoCellAnchor>
    <xdr:from>
      <xdr:col>0</xdr:col>
      <xdr:colOff>59279</xdr:colOff>
      <xdr:row>22</xdr:row>
      <xdr:rowOff>99278</xdr:rowOff>
    </xdr:from>
    <xdr:to>
      <xdr:col>1</xdr:col>
      <xdr:colOff>1088661</xdr:colOff>
      <xdr:row>23</xdr:row>
      <xdr:rowOff>151530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BF06382-C114-419E-88D9-8D0610E3BEB1}"/>
            </a:ext>
          </a:extLst>
        </xdr:cNvPr>
        <xdr:cNvSpPr txBox="1"/>
      </xdr:nvSpPr>
      <xdr:spPr>
        <a:xfrm>
          <a:off x="59279" y="4061678"/>
          <a:ext cx="1285691" cy="232361"/>
        </a:xfrm>
        <a:prstGeom prst="rect">
          <a:avLst/>
        </a:prstGeom>
        <a:solidFill>
          <a:schemeClr val="tx2"/>
        </a:solidFill>
        <a:ln w="9525" cmpd="sng"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Average discount </a:t>
          </a:r>
        </a:p>
      </xdr:txBody>
    </xdr:sp>
    <xdr:clientData/>
  </xdr:twoCellAnchor>
  <xdr:twoCellAnchor>
    <xdr:from>
      <xdr:col>0</xdr:col>
      <xdr:colOff>59332</xdr:colOff>
      <xdr:row>28</xdr:row>
      <xdr:rowOff>72411</xdr:rowOff>
    </xdr:from>
    <xdr:to>
      <xdr:col>1</xdr:col>
      <xdr:colOff>1095792</xdr:colOff>
      <xdr:row>29</xdr:row>
      <xdr:rowOff>152422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AD24BCA-770A-01DA-25BE-5520AE917AA8}"/>
            </a:ext>
          </a:extLst>
        </xdr:cNvPr>
        <xdr:cNvSpPr txBox="1"/>
      </xdr:nvSpPr>
      <xdr:spPr>
        <a:xfrm>
          <a:off x="59332" y="5115466"/>
          <a:ext cx="1292769" cy="260120"/>
        </a:xfrm>
        <a:prstGeom prst="rect">
          <a:avLst/>
        </a:prstGeom>
        <a:solidFill>
          <a:schemeClr val="tx2"/>
        </a:solidFill>
        <a:ln w="9525" cmpd="sng"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Order</a:t>
          </a:r>
          <a:r>
            <a:rPr lang="en-US" sz="1100" b="1" cap="none" spc="0" baseline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id Count</a:t>
          </a:r>
          <a:endParaRPr lang="en-US" sz="1100" b="1" cap="none" spc="0">
            <a:ln w="0"/>
            <a:solidFill>
              <a:srgbClr val="00206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61510</xdr:colOff>
      <xdr:row>29</xdr:row>
      <xdr:rowOff>1035356</xdr:rowOff>
    </xdr:from>
    <xdr:to>
      <xdr:col>1</xdr:col>
      <xdr:colOff>1105047</xdr:colOff>
      <xdr:row>30</xdr:row>
      <xdr:rowOff>162223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85F4A30-27F6-7FDF-F910-C2D64BB2139B}"/>
            </a:ext>
          </a:extLst>
        </xdr:cNvPr>
        <xdr:cNvSpPr txBox="1"/>
      </xdr:nvSpPr>
      <xdr:spPr>
        <a:xfrm>
          <a:off x="61510" y="6258520"/>
          <a:ext cx="1299846" cy="242158"/>
        </a:xfrm>
        <a:prstGeom prst="rect">
          <a:avLst/>
        </a:prstGeom>
        <a:solidFill>
          <a:schemeClr val="tx2"/>
        </a:solidFill>
        <a:ln w="9525" cmpd="sng"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cap="none" spc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Sold</a:t>
          </a:r>
          <a:r>
            <a:rPr lang="en-US" sz="1100" b="1" cap="none" spc="0" baseline="0">
              <a:ln w="0"/>
              <a:solidFill>
                <a:srgbClr val="00206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product count</a:t>
          </a:r>
          <a:endParaRPr lang="en-US" sz="1100" b="1" cap="none" spc="0">
            <a:ln w="0"/>
            <a:solidFill>
              <a:srgbClr val="00206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91129</xdr:colOff>
      <xdr:row>3</xdr:row>
      <xdr:rowOff>175514</xdr:rowOff>
    </xdr:from>
    <xdr:to>
      <xdr:col>10</xdr:col>
      <xdr:colOff>256309</xdr:colOff>
      <xdr:row>21</xdr:row>
      <xdr:rowOff>27709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FD9C76EF-0E3B-4722-A0DD-B2600A512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311727</xdr:colOff>
      <xdr:row>4</xdr:row>
      <xdr:rowOff>23927</xdr:rowOff>
    </xdr:from>
    <xdr:to>
      <xdr:col>18</xdr:col>
      <xdr:colOff>55417</xdr:colOff>
      <xdr:row>21</xdr:row>
      <xdr:rowOff>41564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C5943678-5503-479E-A035-F92BFFDE1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104447</xdr:colOff>
      <xdr:row>21</xdr:row>
      <xdr:rowOff>51348</xdr:rowOff>
    </xdr:from>
    <xdr:to>
      <xdr:col>10</xdr:col>
      <xdr:colOff>270163</xdr:colOff>
      <xdr:row>30</xdr:row>
      <xdr:rowOff>858981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A9605237-1EDE-4533-9A7C-680F7D157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311466</xdr:colOff>
      <xdr:row>21</xdr:row>
      <xdr:rowOff>67385</xdr:rowOff>
    </xdr:from>
    <xdr:to>
      <xdr:col>18</xdr:col>
      <xdr:colOff>55418</xdr:colOff>
      <xdr:row>30</xdr:row>
      <xdr:rowOff>831272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D540755C-6E04-462D-9498-7A1113071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75247</xdr:colOff>
      <xdr:row>0</xdr:row>
      <xdr:rowOff>16019</xdr:rowOff>
    </xdr:from>
    <xdr:to>
      <xdr:col>18</xdr:col>
      <xdr:colOff>69272</xdr:colOff>
      <xdr:row>3</xdr:row>
      <xdr:rowOff>131618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6A7644-CE85-28D0-73A9-B6E1AD997FB7}"/>
            </a:ext>
          </a:extLst>
        </xdr:cNvPr>
        <xdr:cNvSpPr txBox="1"/>
      </xdr:nvSpPr>
      <xdr:spPr>
        <a:xfrm>
          <a:off x="1550756" y="16019"/>
          <a:ext cx="10017789" cy="6559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3"/>
          <a:r>
            <a:rPr lang="en-US" sz="3600" b="1">
              <a:solidFill>
                <a:srgbClr val="FFFF00"/>
              </a:solidFill>
            </a:rPr>
            <a:t>SALES</a:t>
          </a:r>
          <a:r>
            <a:rPr lang="en-US" sz="3600" b="1" baseline="0">
              <a:solidFill>
                <a:srgbClr val="FFFF00"/>
              </a:solidFill>
            </a:rPr>
            <a:t> PERFORMANCE DASHBOARD</a:t>
          </a:r>
          <a:endParaRPr lang="en-US" sz="36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20779</xdr:rowOff>
    </xdr:from>
    <xdr:to>
      <xdr:col>2</xdr:col>
      <xdr:colOff>44682</xdr:colOff>
      <xdr:row>3</xdr:row>
      <xdr:rowOff>142615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88C95D-D9A5-F5D5-3877-494939111C0A}"/>
            </a:ext>
          </a:extLst>
        </xdr:cNvPr>
        <xdr:cNvSpPr txBox="1"/>
      </xdr:nvSpPr>
      <xdr:spPr>
        <a:xfrm>
          <a:off x="0" y="20779"/>
          <a:ext cx="1520191" cy="66216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3200" b="1"/>
            <a:t>   </a:t>
          </a:r>
          <a:r>
            <a:rPr lang="en-US" sz="3200" b="1">
              <a:solidFill>
                <a:srgbClr val="002060"/>
              </a:solidFill>
            </a:rPr>
            <a:t>KPIs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kumar das" refreshedDate="46107.937079629628" createdVersion="8" refreshedVersion="8" minRefreshableVersion="3" recordCount="100" xr:uid="{F8CDEBA2-162D-4E7E-B575-120EE648B6A6}">
  <cacheSource type="worksheet">
    <worksheetSource name="OrderData"/>
  </cacheSource>
  <cacheFields count="13">
    <cacheField name="Order ID" numFmtId="0">
      <sharedItems/>
    </cacheField>
    <cacheField name="Salesperson ID" numFmtId="0">
      <sharedItems/>
    </cacheField>
    <cacheField name="Order Date" numFmtId="164">
      <sharedItems containsSemiMixedTypes="0" containsNonDate="0" containsDate="1" containsString="0" minDate="2024-01-02T00:00:00" maxDate="2024-12-23T00:00:00"/>
    </cacheField>
    <cacheField name="Product" numFmtId="0">
      <sharedItems count="15">
        <s v="Laptop"/>
        <s v="Tablet"/>
        <s v="Monitor"/>
        <s v="Mouse"/>
        <s v="Charger"/>
        <s v="Webcam"/>
        <s v="Headset"/>
        <s v="Scanner"/>
        <s v="Desk Chair"/>
        <s v="Keyboard"/>
        <s v="USB Hub"/>
        <s v="Standing Desk"/>
        <s v="Smartphone"/>
        <s v="Printer"/>
        <s v="Route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20"/>
    </cacheField>
    <cacheField name="Unit Price ($)" numFmtId="44">
      <sharedItems containsSemiMixedTypes="0" containsString="0" containsNumber="1" minValue="53.3" maxValue="1971.18"/>
    </cacheField>
    <cacheField name="Discount %" numFmtId="9">
      <sharedItems containsSemiMixedTypes="0" containsString="0" containsNumber="1" minValue="0" maxValue="0.25"/>
    </cacheField>
    <cacheField name="Order Amount ($)" numFmtId="4">
      <sharedItems containsSemiMixedTypes="0" containsString="0" containsNumber="1" minValue="204.51" maxValue="36611.86"/>
    </cacheField>
    <cacheField name="Discount Amount ($)" numFmtId="4">
      <sharedItems containsSemiMixedTypes="0" containsString="0" containsNumber="1" minValue="0" maxValue="6565"/>
    </cacheField>
    <cacheField name="Net Amount ($)" numFmtId="4">
      <sharedItems containsSemiMixedTypes="0" containsString="0" containsNumber="1" minValue="173.83349999999999" maxValue="34781.267"/>
    </cacheField>
    <cacheField name="Region" numFmtId="0">
      <sharedItems count="4">
        <s v="East"/>
        <s v="West"/>
        <s v="North"/>
        <s v="South"/>
      </sharedItems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kumar das" refreshedDate="46112.621671990739" createdVersion="8" refreshedVersion="8" minRefreshableVersion="3" recordCount="100" xr:uid="{FD56BDFA-E4A0-492E-A184-983EB713B710}">
  <cacheSource type="worksheet">
    <worksheetSource name="OrderData"/>
  </cacheSource>
  <cacheFields count="16">
    <cacheField name="Order ID" numFmtId="0">
      <sharedItems/>
    </cacheField>
    <cacheField name="Salesperson ID" numFmtId="0">
      <sharedItems/>
    </cacheField>
    <cacheField name="Order Date" numFmtId="164">
      <sharedItems containsSemiMixedTypes="0" containsNonDate="0" containsDate="1" containsString="0" minDate="2024-01-02T00:00:00" maxDate="2024-12-23T00:00:00" count="87">
        <d v="2024-02-27T00:00:00"/>
        <d v="2024-02-22T00:00:00"/>
        <d v="2024-01-16T00:00:00"/>
        <d v="2024-10-14T00:00:00"/>
        <d v="2024-05-22T00:00:00"/>
        <d v="2024-08-04T00:00:00"/>
        <d v="2024-11-05T00:00:00"/>
        <d v="2024-07-12T00:00:00"/>
        <d v="2024-07-04T00:00:00"/>
        <d v="2024-04-26T00:00:00"/>
        <d v="2024-02-21T00:00:00"/>
        <d v="2024-03-24T00:00:00"/>
        <d v="2024-12-15T00:00:00"/>
        <d v="2024-05-05T00:00:00"/>
        <d v="2024-10-12T00:00:00"/>
        <d v="2024-04-27T00:00:00"/>
        <d v="2024-02-03T00:00:00"/>
        <d v="2024-12-01T00:00:00"/>
        <d v="2024-03-14T00:00:00"/>
        <d v="2024-05-14T00:00:00"/>
        <d v="2024-01-25T00:00:00"/>
        <d v="2024-12-14T00:00:00"/>
        <d v="2024-08-27T00:00:00"/>
        <d v="2024-05-16T00:00:00"/>
        <d v="2024-08-20T00:00:00"/>
        <d v="2024-09-16T00:00:00"/>
        <d v="2024-11-23T00:00:00"/>
        <d v="2024-03-23T00:00:00"/>
        <d v="2024-09-07T00:00:00"/>
        <d v="2024-06-06T00:00:00"/>
        <d v="2024-02-13T00:00:00"/>
        <d v="2024-03-05T00:00:00"/>
        <d v="2024-09-27T00:00:00"/>
        <d v="2024-10-03T00:00:00"/>
        <d v="2024-11-28T00:00:00"/>
        <d v="2024-05-06T00:00:00"/>
        <d v="2024-01-31T00:00:00"/>
        <d v="2024-02-06T00:00:00"/>
        <d v="2024-08-30T00:00:00"/>
        <d v="2024-08-08T00:00:00"/>
        <d v="2024-01-28T00:00:00"/>
        <d v="2024-02-25T00:00:00"/>
        <d v="2024-02-08T00:00:00"/>
        <d v="2024-01-08T00:00:00"/>
        <d v="2024-04-19T00:00:00"/>
        <d v="2024-01-02T00:00:00"/>
        <d v="2024-05-26T00:00:00"/>
        <d v="2024-04-07T00:00:00"/>
        <d v="2024-10-04T00:00:00"/>
        <d v="2024-09-14T00:00:00"/>
        <d v="2024-04-05T00:00:00"/>
        <d v="2024-07-25T00:00:00"/>
        <d v="2024-11-13T00:00:00"/>
        <d v="2024-06-10T00:00:00"/>
        <d v="2024-05-02T00:00:00"/>
        <d v="2024-08-22T00:00:00"/>
        <d v="2024-06-27T00:00:00"/>
        <d v="2024-03-21T00:00:00"/>
        <d v="2024-11-30T00:00:00"/>
        <d v="2024-12-05T00:00:00"/>
        <d v="2024-10-10T00:00:00"/>
        <d v="2024-06-24T00:00:00"/>
        <d v="2024-01-27T00:00:00"/>
        <d v="2024-06-19T00:00:00"/>
        <d v="2024-08-14T00:00:00"/>
        <d v="2024-12-19T00:00:00"/>
        <d v="2024-10-25T00:00:00"/>
        <d v="2024-07-05T00:00:00"/>
        <d v="2024-05-07T00:00:00"/>
        <d v="2024-07-27T00:00:00"/>
        <d v="2024-01-20T00:00:00"/>
        <d v="2024-08-23T00:00:00"/>
        <d v="2024-04-24T00:00:00"/>
        <d v="2024-02-05T00:00:00"/>
        <d v="2024-12-13T00:00:00"/>
        <d v="2024-05-13T00:00:00"/>
        <d v="2024-08-11T00:00:00"/>
        <d v="2024-05-10T00:00:00"/>
        <d v="2024-12-17T00:00:00"/>
        <d v="2024-06-18T00:00:00"/>
        <d v="2024-06-02T00:00:00"/>
        <d v="2024-12-22T00:00:00"/>
        <d v="2024-07-13T00:00:00"/>
        <d v="2024-10-07T00:00:00"/>
        <d v="2024-10-23T00:00:00"/>
        <d v="2024-03-27T00:00:00"/>
        <d v="2024-12-10T00:00:00"/>
      </sharedItems>
      <fieldGroup par="15"/>
    </cacheField>
    <cacheField name="Product" numFmtId="0">
      <sharedItems count="15">
        <s v="Laptop"/>
        <s v="Tablet"/>
        <s v="Monitor"/>
        <s v="Mouse"/>
        <s v="Charger"/>
        <s v="Webcam"/>
        <s v="Headset"/>
        <s v="Scanner"/>
        <s v="Desk Chair"/>
        <s v="Keyboard"/>
        <s v="USB Hub"/>
        <s v="Standing Desk"/>
        <s v="Smartphone"/>
        <s v="Printer"/>
        <s v="Route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20"/>
    </cacheField>
    <cacheField name="Unit Price ($)" numFmtId="44">
      <sharedItems containsSemiMixedTypes="0" containsString="0" containsNumber="1" minValue="53.3" maxValue="1971.18"/>
    </cacheField>
    <cacheField name="Discount %" numFmtId="9">
      <sharedItems containsSemiMixedTypes="0" containsString="0" containsNumber="1" minValue="0" maxValue="0.25"/>
    </cacheField>
    <cacheField name="Order Amount ($)" numFmtId="4">
      <sharedItems containsSemiMixedTypes="0" containsString="0" containsNumber="1" minValue="204.51" maxValue="36611.86"/>
    </cacheField>
    <cacheField name="Discount Amount ($)" numFmtId="4">
      <sharedItems containsSemiMixedTypes="0" containsString="0" containsNumber="1" minValue="0" maxValue="6565"/>
    </cacheField>
    <cacheField name="Net Amount ($)" numFmtId="4">
      <sharedItems containsSemiMixedTypes="0" containsString="0" containsNumber="1" minValue="173.83349999999999" maxValue="34781.267"/>
    </cacheField>
    <cacheField name="Region" numFmtId="0">
      <sharedItems count="4">
        <s v="East"/>
        <s v="West"/>
        <s v="North"/>
        <s v="South"/>
      </sharedItems>
    </cacheField>
    <cacheField name="Sales person ID status" numFmtId="0">
      <sharedItems/>
    </cacheField>
    <cacheField name="Order Month" numFmtId="0">
      <sharedItems containsSemiMixedTypes="0" containsString="0" containsNumber="1" containsInteger="1" minValue="45292" maxValue="45627" count="12">
        <n v="45323"/>
        <n v="45292"/>
        <n v="45566"/>
        <n v="45413"/>
        <n v="45505"/>
        <n v="45597"/>
        <n v="45474"/>
        <n v="45383"/>
        <n v="45352"/>
        <n v="45627"/>
        <n v="45536"/>
        <n v="45444"/>
      </sharedItems>
    </cacheField>
    <cacheField name="Days (Order Date)" numFmtId="0" databaseField="0">
      <fieldGroup base="2">
        <rangePr groupBy="days" startDate="2024-01-02T00:00:00" endDate="2024-12-23T00:00:00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3/2024"/>
        </groupItems>
      </fieldGroup>
    </cacheField>
    <cacheField name="Months (Order Date)" numFmtId="0" databaseField="0">
      <fieldGroup base="2">
        <rangePr groupBy="months" startDate="2024-01-02T00:00:00" endDate="2024-12-23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kumar das" refreshedDate="46114.770019328702" createdVersion="8" refreshedVersion="8" minRefreshableVersion="3" recordCount="100" xr:uid="{CBED2540-EAE4-4A85-AEEF-82377083414C}">
  <cacheSource type="worksheet">
    <worksheetSource name="OrderData"/>
  </cacheSource>
  <cacheFields count="15">
    <cacheField name="Order ID" numFmtId="0">
      <sharedItems/>
    </cacheField>
    <cacheField name="Salesperson ID" numFmtId="0">
      <sharedItems/>
    </cacheField>
    <cacheField name="Order Date" numFmtId="164">
      <sharedItems containsSemiMixedTypes="0" containsNonDate="0" containsDate="1" containsString="0" minDate="2024-01-02T00:00:00" maxDate="2024-12-23T00:00:0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20"/>
    </cacheField>
    <cacheField name="Unit Price ($)" numFmtId="44">
      <sharedItems containsSemiMixedTypes="0" containsString="0" containsNumber="1" minValue="53.3" maxValue="1971.18"/>
    </cacheField>
    <cacheField name="Discount %" numFmtId="9">
      <sharedItems containsSemiMixedTypes="0" containsString="0" containsNumber="1" minValue="0" maxValue="0.25"/>
    </cacheField>
    <cacheField name="Order Amount ($)" numFmtId="4">
      <sharedItems containsSemiMixedTypes="0" containsString="0" containsNumber="1" minValue="204.51" maxValue="36611.86"/>
    </cacheField>
    <cacheField name="Discount Amount ($)" numFmtId="4">
      <sharedItems containsSemiMixedTypes="0" containsString="0" containsNumber="1" minValue="0" maxValue="6565"/>
    </cacheField>
    <cacheField name="Net Amount ($)" numFmtId="4">
      <sharedItems containsSemiMixedTypes="0" containsString="0" containsNumber="1" minValue="173.83349999999999" maxValue="34781.267"/>
    </cacheField>
    <cacheField name="Region" numFmtId="0">
      <sharedItems count="4">
        <s v="East"/>
        <s v="West"/>
        <s v="North"/>
        <s v="South"/>
      </sharedItems>
    </cacheField>
    <cacheField name="Sales person ID status" numFmtId="0">
      <sharedItems/>
    </cacheField>
    <cacheField name="Discount  category" numFmtId="0">
      <sharedItems/>
    </cacheField>
    <cacheField name="Salesperson Name" numFmtId="0">
      <sharedItems count="15">
        <s v="Karen Harris"/>
        <s v="Leo Martinez"/>
        <s v="Alice Johnson"/>
        <s v="James White"/>
        <s v="Frank Wilson"/>
        <s v="Bob Martinez"/>
        <s v="David Kim"/>
        <s v="Iris Thompson"/>
        <s v="Eva Brown"/>
        <s v="Henry Davis"/>
        <s v="Grace Chen"/>
        <s v="Mia Clark"/>
        <s v="Carol Lee"/>
        <s v="Noah Lewis"/>
        <s v="Olivia Walk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kumar das" refreshedDate="46115.842457638886" createdVersion="8" refreshedVersion="8" minRefreshableVersion="3" recordCount="100" xr:uid="{3EA8A747-380F-4101-B8A4-B795B1F41701}">
  <cacheSource type="worksheet">
    <worksheetSource name="OrderData"/>
  </cacheSource>
  <cacheFields count="15">
    <cacheField name="Order ID" numFmtId="0">
      <sharedItems/>
    </cacheField>
    <cacheField name="Salesperson ID" numFmtId="0">
      <sharedItems/>
    </cacheField>
    <cacheField name="Order Date" numFmtId="164">
      <sharedItems containsSemiMixedTypes="0" containsNonDate="0" containsDate="1" containsString="0" minDate="2024-01-02T00:00:00" maxDate="2024-12-23T00:00:0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20"/>
    </cacheField>
    <cacheField name="Unit Price ($)" numFmtId="44">
      <sharedItems containsSemiMixedTypes="0" containsString="0" containsNumber="1" minValue="53.3" maxValue="1971.18"/>
    </cacheField>
    <cacheField name="Discount %" numFmtId="9">
      <sharedItems containsSemiMixedTypes="0" containsString="0" containsNumber="1" minValue="0" maxValue="0.25"/>
    </cacheField>
    <cacheField name="Order Amount ($)" numFmtId="4">
      <sharedItems containsSemiMixedTypes="0" containsString="0" containsNumber="1" minValue="204.51" maxValue="36611.86"/>
    </cacheField>
    <cacheField name="Discount Amount ($)" numFmtId="4">
      <sharedItems containsSemiMixedTypes="0" containsString="0" containsNumber="1" minValue="0" maxValue="6565"/>
    </cacheField>
    <cacheField name="Net Amount ($)" numFmtId="4">
      <sharedItems containsSemiMixedTypes="0" containsString="0" containsNumber="1" minValue="173.83349999999999" maxValue="34781.267"/>
    </cacheField>
    <cacheField name="Region" numFmtId="0">
      <sharedItems count="4">
        <s v="East"/>
        <s v="West"/>
        <s v="North"/>
        <s v="South"/>
      </sharedItems>
    </cacheField>
    <cacheField name="Sales person ID status" numFmtId="0">
      <sharedItems/>
    </cacheField>
    <cacheField name="Discount  category" numFmtId="0">
      <sharedItems/>
    </cacheField>
    <cacheField name="Salesperson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0001"/>
    <s v="SP011"/>
    <d v="2024-02-27T00:00:00"/>
    <x v="0"/>
    <s v="Electronics"/>
    <n v="9"/>
    <n v="527.54"/>
    <n v="0"/>
    <n v="4747.8599999999997"/>
    <n v="0"/>
    <n v="4747.8599999999997"/>
    <x v="0"/>
  </r>
  <r>
    <s v="ORD-0002"/>
    <s v="SP012"/>
    <d v="2024-02-22T00:00:00"/>
    <x v="1"/>
    <s v="Electronics"/>
    <n v="18"/>
    <n v="219.53"/>
    <n v="0.1"/>
    <n v="3951.54"/>
    <n v="395.154"/>
    <n v="3556.386"/>
    <x v="1"/>
  </r>
  <r>
    <s v="ORD-0003"/>
    <s v="SP001"/>
    <d v="2024-01-16T00:00:00"/>
    <x v="2"/>
    <s v="Electronics"/>
    <n v="7"/>
    <n v="503.69"/>
    <n v="0.15"/>
    <n v="3525.83"/>
    <n v="528.87450000000001"/>
    <n v="2996.9555"/>
    <x v="2"/>
  </r>
  <r>
    <s v="ORD-0004"/>
    <s v="SP001"/>
    <d v="2024-10-14T00:00:00"/>
    <x v="3"/>
    <s v="Accessories"/>
    <n v="18"/>
    <n v="868.06"/>
    <n v="0.1"/>
    <n v="15625.079999999998"/>
    <n v="1562.5079999999998"/>
    <n v="14062.571999999998"/>
    <x v="2"/>
  </r>
  <r>
    <s v="ORD-0005"/>
    <s v="SP010"/>
    <d v="2024-05-22T00:00:00"/>
    <x v="4"/>
    <s v="Accessories"/>
    <n v="1"/>
    <n v="1529.67"/>
    <n v="0"/>
    <n v="1529.67"/>
    <n v="0"/>
    <n v="1529.67"/>
    <x v="3"/>
  </r>
  <r>
    <s v="ORD-0006"/>
    <s v="SP012"/>
    <d v="2024-08-04T00:00:00"/>
    <x v="5"/>
    <s v="Electronics"/>
    <n v="9"/>
    <n v="353.19"/>
    <n v="0.25"/>
    <n v="3178.71"/>
    <n v="794.67750000000001"/>
    <n v="2384.0325000000003"/>
    <x v="1"/>
  </r>
  <r>
    <s v="ORD-0007"/>
    <s v="SP006"/>
    <d v="2024-02-22T00:00:00"/>
    <x v="2"/>
    <s v="Electronics"/>
    <n v="13"/>
    <n v="238.6"/>
    <n v="0.25"/>
    <n v="3101.7999999999997"/>
    <n v="775.44999999999993"/>
    <n v="2326.35"/>
    <x v="3"/>
  </r>
  <r>
    <s v="ORD-0008"/>
    <s v="SP006"/>
    <d v="2024-11-05T00:00:00"/>
    <x v="6"/>
    <s v="Accessories"/>
    <n v="2"/>
    <n v="1472.98"/>
    <n v="0.15"/>
    <n v="2945.96"/>
    <n v="441.89400000000001"/>
    <n v="2504.0659999999998"/>
    <x v="3"/>
  </r>
  <r>
    <s v="ORD-0009"/>
    <s v="SP002"/>
    <d v="2024-07-12T00:00:00"/>
    <x v="2"/>
    <s v="Electronics"/>
    <n v="18"/>
    <n v="621.70000000000005"/>
    <n v="0.2"/>
    <n v="11190.6"/>
    <n v="2238.1200000000003"/>
    <n v="8952.48"/>
    <x v="3"/>
  </r>
  <r>
    <s v="ORD-0010"/>
    <s v="SP010"/>
    <d v="2024-07-04T00:00:00"/>
    <x v="7"/>
    <s v="Office"/>
    <n v="7"/>
    <n v="1423.92"/>
    <n v="0"/>
    <n v="9967.44"/>
    <n v="0"/>
    <n v="9967.44"/>
    <x v="3"/>
  </r>
  <r>
    <s v="ORD-0011"/>
    <s v="SP011"/>
    <d v="2024-04-26T00:00:00"/>
    <x v="4"/>
    <s v="Accessories"/>
    <n v="10"/>
    <n v="1971.18"/>
    <n v="0.25"/>
    <n v="19711.8"/>
    <n v="4927.95"/>
    <n v="14783.849999999999"/>
    <x v="0"/>
  </r>
  <r>
    <s v="ORD-0012"/>
    <s v="SP004"/>
    <d v="2024-02-21T00:00:00"/>
    <x v="8"/>
    <s v="Furniture"/>
    <n v="9"/>
    <n v="934.15"/>
    <n v="0.25"/>
    <n v="8407.35"/>
    <n v="2101.8375000000001"/>
    <n v="6305.5125000000007"/>
    <x v="1"/>
  </r>
  <r>
    <s v="ORD-0013"/>
    <s v="SP006"/>
    <d v="2024-03-24T00:00:00"/>
    <x v="5"/>
    <s v="Electronics"/>
    <n v="12"/>
    <n v="458.54"/>
    <n v="0.05"/>
    <n v="5502.4800000000005"/>
    <n v="275.12400000000002"/>
    <n v="5227.3560000000007"/>
    <x v="3"/>
  </r>
  <r>
    <s v="ORD-0014"/>
    <s v="SP012"/>
    <d v="2024-12-15T00:00:00"/>
    <x v="1"/>
    <s v="Electronics"/>
    <n v="3"/>
    <n v="1237.81"/>
    <n v="0"/>
    <n v="3713.43"/>
    <n v="0"/>
    <n v="3713.43"/>
    <x v="1"/>
  </r>
  <r>
    <s v="ORD-0015"/>
    <s v="SP009"/>
    <d v="2024-05-05T00:00:00"/>
    <x v="9"/>
    <s v="Accessories"/>
    <n v="15"/>
    <n v="789.94"/>
    <n v="0.2"/>
    <n v="11849.1"/>
    <n v="2369.8200000000002"/>
    <n v="9479.2800000000007"/>
    <x v="2"/>
  </r>
  <r>
    <s v="ORD-0016"/>
    <s v="SP012"/>
    <d v="2024-10-12T00:00:00"/>
    <x v="3"/>
    <s v="Accessories"/>
    <n v="11"/>
    <n v="1693.56"/>
    <n v="0.25"/>
    <n v="18629.16"/>
    <n v="4657.29"/>
    <n v="13971.869999999999"/>
    <x v="1"/>
  </r>
  <r>
    <s v="ORD-0017"/>
    <s v="SP001"/>
    <d v="2024-04-27T00:00:00"/>
    <x v="10"/>
    <s v="Accessories"/>
    <n v="2"/>
    <n v="1619.84"/>
    <n v="0.1"/>
    <n v="3239.68"/>
    <n v="323.96800000000002"/>
    <n v="2915.712"/>
    <x v="2"/>
  </r>
  <r>
    <s v="ORD-0018"/>
    <s v="SP005"/>
    <d v="2024-02-03T00:00:00"/>
    <x v="3"/>
    <s v="Accessories"/>
    <n v="19"/>
    <n v="1758.92"/>
    <n v="0.05"/>
    <n v="33419.480000000003"/>
    <n v="1670.9740000000002"/>
    <n v="31748.506000000001"/>
    <x v="2"/>
  </r>
  <r>
    <s v="ORD-0019"/>
    <s v="SP004"/>
    <d v="2024-12-01T00:00:00"/>
    <x v="11"/>
    <s v="Furniture"/>
    <n v="13"/>
    <n v="1775.13"/>
    <n v="0.2"/>
    <n v="23076.690000000002"/>
    <n v="4615.3380000000006"/>
    <n v="18461.352000000003"/>
    <x v="1"/>
  </r>
  <r>
    <s v="ORD-0020"/>
    <s v="SP008"/>
    <d v="2024-03-14T00:00:00"/>
    <x v="6"/>
    <s v="Accessories"/>
    <n v="5"/>
    <n v="530.91999999999996"/>
    <n v="0.15"/>
    <n v="2654.6"/>
    <n v="398.19"/>
    <n v="2256.41"/>
    <x v="1"/>
  </r>
  <r>
    <s v="ORD-0021"/>
    <s v="SP009"/>
    <d v="2024-05-14T00:00:00"/>
    <x v="12"/>
    <s v="Electronics"/>
    <n v="19"/>
    <n v="885.45"/>
    <n v="0.15"/>
    <n v="16823.55"/>
    <n v="2523.5324999999998"/>
    <n v="14300.0175"/>
    <x v="2"/>
  </r>
  <r>
    <s v="ORD-0022"/>
    <s v="SP007"/>
    <d v="2024-07-04T00:00:00"/>
    <x v="3"/>
    <s v="Accessories"/>
    <n v="5"/>
    <n v="1043.58"/>
    <n v="0"/>
    <n v="5217.8999999999996"/>
    <n v="0"/>
    <n v="5217.8999999999996"/>
    <x v="0"/>
  </r>
  <r>
    <s v="ORD-0023"/>
    <s v="SP013"/>
    <d v="2024-01-25T00:00:00"/>
    <x v="10"/>
    <s v="Accessories"/>
    <n v="4"/>
    <n v="348.04"/>
    <n v="0"/>
    <n v="1392.16"/>
    <n v="0"/>
    <n v="1392.16"/>
    <x v="2"/>
  </r>
  <r>
    <s v="ORD-0024"/>
    <s v="SP013"/>
    <d v="2024-12-14T00:00:00"/>
    <x v="8"/>
    <s v="Furniture"/>
    <n v="20"/>
    <n v="173.88"/>
    <n v="0.1"/>
    <n v="3477.6"/>
    <n v="347.76"/>
    <n v="3129.84"/>
    <x v="2"/>
  </r>
  <r>
    <s v="ORD-0025"/>
    <s v="SP010"/>
    <d v="2024-08-27T00:00:00"/>
    <x v="13"/>
    <s v="Office"/>
    <n v="9"/>
    <n v="1943.6"/>
    <n v="0.25"/>
    <n v="17492.399999999998"/>
    <n v="4373.0999999999995"/>
    <n v="13119.3"/>
    <x v="3"/>
  </r>
  <r>
    <s v="ORD-0026"/>
    <s v="SP001"/>
    <d v="2024-12-14T00:00:00"/>
    <x v="12"/>
    <s v="Electronics"/>
    <n v="4"/>
    <n v="1379.34"/>
    <n v="0.15"/>
    <n v="5517.36"/>
    <n v="827.60399999999993"/>
    <n v="4689.7559999999994"/>
    <x v="2"/>
  </r>
  <r>
    <s v="ORD-0027"/>
    <s v="SP013"/>
    <d v="2024-05-16T00:00:00"/>
    <x v="4"/>
    <s v="Accessories"/>
    <n v="11"/>
    <n v="267.52999999999997"/>
    <n v="0.1"/>
    <n v="2942.83"/>
    <n v="294.28300000000002"/>
    <n v="2648.547"/>
    <x v="2"/>
  </r>
  <r>
    <s v="ORD-0028"/>
    <s v="SP003"/>
    <d v="2024-08-20T00:00:00"/>
    <x v="0"/>
    <s v="Electronics"/>
    <n v="9"/>
    <n v="1945.18"/>
    <n v="0.25"/>
    <n v="17506.62"/>
    <n v="4376.6549999999997"/>
    <n v="13129.965"/>
    <x v="0"/>
  </r>
  <r>
    <s v="ORD-0029"/>
    <s v="SP003"/>
    <d v="2024-09-16T00:00:00"/>
    <x v="14"/>
    <s v="Networking"/>
    <n v="4"/>
    <n v="1747.51"/>
    <n v="0.05"/>
    <n v="6990.04"/>
    <n v="349.50200000000001"/>
    <n v="6640.5379999999996"/>
    <x v="0"/>
  </r>
  <r>
    <s v="ORD-0030"/>
    <s v="SP014"/>
    <d v="2024-11-23T00:00:00"/>
    <x v="13"/>
    <s v="Office"/>
    <n v="20"/>
    <n v="437.88"/>
    <n v="0.05"/>
    <n v="8757.6"/>
    <n v="437.88000000000005"/>
    <n v="8319.7200000000012"/>
    <x v="3"/>
  </r>
  <r>
    <s v="ORD-0031"/>
    <s v="SP013"/>
    <d v="2024-03-23T00:00:00"/>
    <x v="13"/>
    <s v="Office"/>
    <n v="17"/>
    <n v="1841.06"/>
    <n v="0.15"/>
    <n v="31298.02"/>
    <n v="4694.7029999999995"/>
    <n v="26603.317000000003"/>
    <x v="2"/>
  </r>
  <r>
    <s v="ORD-0032"/>
    <s v="SP006"/>
    <d v="2024-09-07T00:00:00"/>
    <x v="0"/>
    <s v="Electronics"/>
    <n v="4"/>
    <n v="1861.74"/>
    <n v="0.25"/>
    <n v="7446.96"/>
    <n v="1861.74"/>
    <n v="5585.22"/>
    <x v="3"/>
  </r>
  <r>
    <s v="ORD-0033"/>
    <s v="SP013"/>
    <d v="2024-06-06T00:00:00"/>
    <x v="3"/>
    <s v="Accessories"/>
    <n v="2"/>
    <n v="519.70000000000005"/>
    <n v="0.15"/>
    <n v="1039.4000000000001"/>
    <n v="155.91"/>
    <n v="883.49000000000012"/>
    <x v="2"/>
  </r>
  <r>
    <s v="ORD-0034"/>
    <s v="SP002"/>
    <d v="2024-02-13T00:00:00"/>
    <x v="12"/>
    <s v="Electronics"/>
    <n v="16"/>
    <n v="1641.25"/>
    <n v="0.25"/>
    <n v="26260"/>
    <n v="6565"/>
    <n v="19695"/>
    <x v="3"/>
  </r>
  <r>
    <s v="ORD-0035"/>
    <s v="SP009"/>
    <d v="2024-03-05T00:00:00"/>
    <x v="9"/>
    <s v="Accessories"/>
    <n v="16"/>
    <n v="1896.35"/>
    <n v="0"/>
    <n v="30341.599999999999"/>
    <n v="0"/>
    <n v="30341.599999999999"/>
    <x v="2"/>
  </r>
  <r>
    <s v="ORD-0036"/>
    <s v="SP005"/>
    <d v="2024-09-27T00:00:00"/>
    <x v="10"/>
    <s v="Accessories"/>
    <n v="20"/>
    <n v="875.12"/>
    <n v="0"/>
    <n v="17502.400000000001"/>
    <n v="0"/>
    <n v="17502.400000000001"/>
    <x v="2"/>
  </r>
  <r>
    <s v="ORD-0037"/>
    <s v="SP015"/>
    <d v="2024-10-03T00:00:00"/>
    <x v="4"/>
    <s v="Accessories"/>
    <n v="7"/>
    <n v="1440.25"/>
    <n v="0.1"/>
    <n v="10081.75"/>
    <n v="1008.1750000000001"/>
    <n v="9073.5750000000007"/>
    <x v="0"/>
  </r>
  <r>
    <s v="ORD-0038"/>
    <s v="SP011"/>
    <d v="2024-11-28T00:00:00"/>
    <x v="5"/>
    <s v="Electronics"/>
    <n v="15"/>
    <n v="1804.25"/>
    <n v="0.1"/>
    <n v="27063.75"/>
    <n v="2706.375"/>
    <n v="24357.375"/>
    <x v="0"/>
  </r>
  <r>
    <s v="ORD-0039"/>
    <s v="SP002"/>
    <d v="2024-05-06T00:00:00"/>
    <x v="3"/>
    <s v="Accessories"/>
    <n v="3"/>
    <n v="709.27"/>
    <n v="0.15"/>
    <n v="2127.81"/>
    <n v="319.17149999999998"/>
    <n v="1808.6385"/>
    <x v="3"/>
  </r>
  <r>
    <s v="ORD-0040"/>
    <s v="SP009"/>
    <d v="2024-04-27T00:00:00"/>
    <x v="7"/>
    <s v="Office"/>
    <n v="8"/>
    <n v="64.02"/>
    <n v="0.2"/>
    <n v="512.16"/>
    <n v="102.432"/>
    <n v="409.72799999999995"/>
    <x v="2"/>
  </r>
  <r>
    <s v="ORD-0041"/>
    <s v="SP011"/>
    <d v="2024-01-31T00:00:00"/>
    <x v="3"/>
    <s v="Accessories"/>
    <n v="3"/>
    <n v="1815.57"/>
    <n v="0.25"/>
    <n v="5446.71"/>
    <n v="1361.6775"/>
    <n v="4085.0325000000003"/>
    <x v="0"/>
  </r>
  <r>
    <s v="ORD-0042"/>
    <s v="SP006"/>
    <d v="2024-02-06T00:00:00"/>
    <x v="13"/>
    <s v="Office"/>
    <n v="8"/>
    <n v="593.03"/>
    <n v="0.1"/>
    <n v="4744.24"/>
    <n v="474.42399999999998"/>
    <n v="4269.8159999999998"/>
    <x v="3"/>
  </r>
  <r>
    <s v="ORD-0043"/>
    <s v="SP004"/>
    <d v="2024-10-03T00:00:00"/>
    <x v="9"/>
    <s v="Accessories"/>
    <n v="19"/>
    <n v="1173.6099999999999"/>
    <n v="0"/>
    <n v="22298.589999999997"/>
    <n v="0"/>
    <n v="22298.589999999997"/>
    <x v="1"/>
  </r>
  <r>
    <s v="ORD-0044"/>
    <s v="SP013"/>
    <d v="2024-08-30T00:00:00"/>
    <x v="4"/>
    <s v="Accessories"/>
    <n v="14"/>
    <n v="421.3"/>
    <n v="0"/>
    <n v="5898.2"/>
    <n v="0"/>
    <n v="5898.2"/>
    <x v="2"/>
  </r>
  <r>
    <s v="ORD-0045"/>
    <s v="SP011"/>
    <d v="2024-08-08T00:00:00"/>
    <x v="5"/>
    <s v="Electronics"/>
    <n v="14"/>
    <n v="851.65"/>
    <n v="0.25"/>
    <n v="11923.1"/>
    <n v="2980.7750000000001"/>
    <n v="8942.3250000000007"/>
    <x v="0"/>
  </r>
  <r>
    <s v="ORD-0046"/>
    <s v="SP012"/>
    <d v="2024-01-28T00:00:00"/>
    <x v="1"/>
    <s v="Electronics"/>
    <n v="4"/>
    <n v="168.19"/>
    <n v="0.2"/>
    <n v="672.76"/>
    <n v="134.55199999999999"/>
    <n v="538.20799999999997"/>
    <x v="1"/>
  </r>
  <r>
    <s v="ORD-0047"/>
    <s v="SP006"/>
    <d v="2024-02-25T00:00:00"/>
    <x v="3"/>
    <s v="Accessories"/>
    <n v="7"/>
    <n v="420.91"/>
    <n v="0.1"/>
    <n v="2946.3700000000003"/>
    <n v="294.63700000000006"/>
    <n v="2651.7330000000002"/>
    <x v="3"/>
  </r>
  <r>
    <s v="ORD-0048"/>
    <s v="SP003"/>
    <d v="2024-08-04T00:00:00"/>
    <x v="9"/>
    <s v="Accessories"/>
    <n v="9"/>
    <n v="952.12"/>
    <n v="0.25"/>
    <n v="8569.08"/>
    <n v="2142.27"/>
    <n v="6426.8099999999995"/>
    <x v="0"/>
  </r>
  <r>
    <s v="ORD-0049"/>
    <s v="SP015"/>
    <d v="2024-02-08T00:00:00"/>
    <x v="11"/>
    <s v="Furniture"/>
    <n v="18"/>
    <n v="240.92"/>
    <n v="0.2"/>
    <n v="4336.5599999999995"/>
    <n v="867.3119999999999"/>
    <n v="3469.2479999999996"/>
    <x v="0"/>
  </r>
  <r>
    <s v="ORD-0050"/>
    <s v="SP009"/>
    <d v="2024-01-08T00:00:00"/>
    <x v="2"/>
    <s v="Electronics"/>
    <n v="8"/>
    <n v="374.31"/>
    <n v="0.1"/>
    <n v="2994.48"/>
    <n v="299.44800000000004"/>
    <n v="2695.0320000000002"/>
    <x v="2"/>
  </r>
  <r>
    <s v="ORD-0051"/>
    <s v="SP008"/>
    <d v="2024-04-19T00:00:00"/>
    <x v="10"/>
    <s v="Accessories"/>
    <n v="13"/>
    <n v="1809.76"/>
    <n v="0"/>
    <n v="23526.880000000001"/>
    <n v="0"/>
    <n v="23526.880000000001"/>
    <x v="1"/>
  </r>
  <r>
    <s v="ORD-0052"/>
    <s v="SP007"/>
    <d v="2024-01-02T00:00:00"/>
    <x v="8"/>
    <s v="Furniture"/>
    <n v="9"/>
    <n v="1856.71"/>
    <n v="0.25"/>
    <n v="16710.39"/>
    <n v="4177.5974999999999"/>
    <n v="12532.7925"/>
    <x v="0"/>
  </r>
  <r>
    <s v="ORD-0053"/>
    <s v="SP008"/>
    <d v="2024-05-26T00:00:00"/>
    <x v="8"/>
    <s v="Furniture"/>
    <n v="18"/>
    <n v="1340.65"/>
    <n v="0.1"/>
    <n v="24131.7"/>
    <n v="2413.17"/>
    <n v="21718.53"/>
    <x v="1"/>
  </r>
  <r>
    <s v="ORD-0054"/>
    <s v="SP003"/>
    <d v="2024-04-07T00:00:00"/>
    <x v="6"/>
    <s v="Accessories"/>
    <n v="7"/>
    <n v="1938.98"/>
    <n v="0.15"/>
    <n v="13572.86"/>
    <n v="2035.9290000000001"/>
    <n v="11536.931"/>
    <x v="0"/>
  </r>
  <r>
    <s v="ORD-0055"/>
    <s v="SP012"/>
    <d v="2024-10-04T00:00:00"/>
    <x v="0"/>
    <s v="Electronics"/>
    <n v="11"/>
    <n v="161.47"/>
    <n v="0.15"/>
    <n v="1776.17"/>
    <n v="266.4255"/>
    <n v="1509.7445"/>
    <x v="1"/>
  </r>
  <r>
    <s v="ORD-0056"/>
    <s v="SP008"/>
    <d v="2024-09-14T00:00:00"/>
    <x v="14"/>
    <s v="Networking"/>
    <n v="17"/>
    <n v="356.99"/>
    <n v="0.15"/>
    <n v="6068.83"/>
    <n v="910.32449999999994"/>
    <n v="5158.5055000000002"/>
    <x v="1"/>
  </r>
  <r>
    <s v="ORD-0057"/>
    <s v="SP002"/>
    <d v="2024-04-05T00:00:00"/>
    <x v="2"/>
    <s v="Electronics"/>
    <n v="20"/>
    <n v="182.52"/>
    <n v="0.25"/>
    <n v="3650.4"/>
    <n v="912.6"/>
    <n v="2737.8"/>
    <x v="3"/>
  </r>
  <r>
    <s v="ORD-0058"/>
    <s v="SP004"/>
    <d v="2024-07-25T00:00:00"/>
    <x v="2"/>
    <s v="Electronics"/>
    <n v="19"/>
    <n v="530.12"/>
    <n v="0.15"/>
    <n v="10072.280000000001"/>
    <n v="1510.8420000000001"/>
    <n v="8561.4380000000001"/>
    <x v="1"/>
  </r>
  <r>
    <s v="ORD-0059"/>
    <s v="SP001"/>
    <d v="2024-11-13T00:00:00"/>
    <x v="2"/>
    <s v="Electronics"/>
    <n v="14"/>
    <n v="1331.88"/>
    <n v="0.15"/>
    <n v="18646.32"/>
    <n v="2796.9479999999999"/>
    <n v="15849.371999999999"/>
    <x v="2"/>
  </r>
  <r>
    <s v="ORD-0060"/>
    <s v="SP009"/>
    <d v="2024-06-10T00:00:00"/>
    <x v="14"/>
    <s v="Networking"/>
    <n v="9"/>
    <n v="448.31"/>
    <n v="0.2"/>
    <n v="4034.79"/>
    <n v="806.95800000000008"/>
    <n v="3227.8319999999999"/>
    <x v="2"/>
  </r>
  <r>
    <s v="ORD-0061"/>
    <s v="SP006"/>
    <d v="2024-05-02T00:00:00"/>
    <x v="6"/>
    <s v="Accessories"/>
    <n v="13"/>
    <n v="305.20999999999998"/>
    <n v="0.2"/>
    <n v="3967.7299999999996"/>
    <n v="793.54599999999994"/>
    <n v="3174.1839999999997"/>
    <x v="3"/>
  </r>
  <r>
    <s v="ORD-0062"/>
    <s v="SP005"/>
    <d v="2024-08-22T00:00:00"/>
    <x v="5"/>
    <s v="Electronics"/>
    <n v="3"/>
    <n v="68.17"/>
    <n v="0.15"/>
    <n v="204.51"/>
    <n v="30.676499999999997"/>
    <n v="173.83349999999999"/>
    <x v="2"/>
  </r>
  <r>
    <s v="ORD-0063"/>
    <s v="SP010"/>
    <d v="2024-02-21T00:00:00"/>
    <x v="2"/>
    <s v="Electronics"/>
    <n v="18"/>
    <n v="465.65"/>
    <n v="0.05"/>
    <n v="8381.6999999999989"/>
    <n v="419.08499999999998"/>
    <n v="7962.6149999999989"/>
    <x v="3"/>
  </r>
  <r>
    <s v="ORD-0064"/>
    <s v="SP003"/>
    <d v="2024-06-27T00:00:00"/>
    <x v="14"/>
    <s v="Networking"/>
    <n v="3"/>
    <n v="1764.58"/>
    <n v="0.05"/>
    <n v="5293.74"/>
    <n v="264.68700000000001"/>
    <n v="5029.0529999999999"/>
    <x v="0"/>
  </r>
  <r>
    <s v="ORD-0065"/>
    <s v="SP005"/>
    <d v="2024-03-21T00:00:00"/>
    <x v="11"/>
    <s v="Furniture"/>
    <n v="18"/>
    <n v="1421.9"/>
    <n v="0.15"/>
    <n v="25594.2"/>
    <n v="3839.13"/>
    <n v="21755.07"/>
    <x v="2"/>
  </r>
  <r>
    <s v="ORD-0066"/>
    <s v="SP013"/>
    <d v="2024-11-30T00:00:00"/>
    <x v="13"/>
    <s v="Office"/>
    <n v="1"/>
    <n v="1352.33"/>
    <n v="0.15"/>
    <n v="1352.33"/>
    <n v="202.84949999999998"/>
    <n v="1149.4804999999999"/>
    <x v="2"/>
  </r>
  <r>
    <s v="ORD-0067"/>
    <s v="SP005"/>
    <d v="2024-12-05T00:00:00"/>
    <x v="2"/>
    <s v="Electronics"/>
    <n v="5"/>
    <n v="565.71"/>
    <n v="0"/>
    <n v="2828.55"/>
    <n v="0"/>
    <n v="2828.55"/>
    <x v="2"/>
  </r>
  <r>
    <s v="ORD-0068"/>
    <s v="SP012"/>
    <d v="2024-10-10T00:00:00"/>
    <x v="9"/>
    <s v="Accessories"/>
    <n v="9"/>
    <n v="599.41999999999996"/>
    <n v="0"/>
    <n v="5394.78"/>
    <n v="0"/>
    <n v="5394.78"/>
    <x v="1"/>
  </r>
  <r>
    <s v="ORD-0069"/>
    <s v="SP012"/>
    <d v="2024-06-24T00:00:00"/>
    <x v="3"/>
    <s v="Accessories"/>
    <n v="9"/>
    <n v="1035.55"/>
    <n v="0.05"/>
    <n v="9319.9499999999989"/>
    <n v="465.99749999999995"/>
    <n v="8853.9524999999994"/>
    <x v="1"/>
  </r>
  <r>
    <s v="ORD-0070"/>
    <s v="SP015"/>
    <d v="2024-01-27T00:00:00"/>
    <x v="2"/>
    <s v="Electronics"/>
    <n v="14"/>
    <n v="1667.23"/>
    <n v="0"/>
    <n v="23341.22"/>
    <n v="0"/>
    <n v="23341.22"/>
    <x v="0"/>
  </r>
  <r>
    <s v="ORD-0071"/>
    <s v="SP001"/>
    <d v="2024-06-19T00:00:00"/>
    <x v="4"/>
    <s v="Accessories"/>
    <n v="5"/>
    <n v="1292.3699999999999"/>
    <n v="0.05"/>
    <n v="6461.8499999999995"/>
    <n v="323.09249999999997"/>
    <n v="6138.7574999999997"/>
    <x v="2"/>
  </r>
  <r>
    <s v="ORD-0072"/>
    <s v="SP003"/>
    <d v="2024-08-14T00:00:00"/>
    <x v="13"/>
    <s v="Office"/>
    <n v="14"/>
    <n v="1143.77"/>
    <n v="0"/>
    <n v="16012.779999999999"/>
    <n v="0"/>
    <n v="16012.779999999999"/>
    <x v="0"/>
  </r>
  <r>
    <s v="ORD-0073"/>
    <s v="SP002"/>
    <d v="2024-12-19T00:00:00"/>
    <x v="14"/>
    <s v="Networking"/>
    <n v="5"/>
    <n v="1113.9000000000001"/>
    <n v="0.25"/>
    <n v="5569.5"/>
    <n v="1392.375"/>
    <n v="4177.125"/>
    <x v="3"/>
  </r>
  <r>
    <s v="ORD-0074"/>
    <s v="SP006"/>
    <d v="2024-10-25T00:00:00"/>
    <x v="13"/>
    <s v="Office"/>
    <n v="5"/>
    <n v="888.08"/>
    <n v="0"/>
    <n v="4440.4000000000005"/>
    <n v="0"/>
    <n v="4440.4000000000005"/>
    <x v="3"/>
  </r>
  <r>
    <s v="ORD-0075"/>
    <s v="SP005"/>
    <d v="2024-07-05T00:00:00"/>
    <x v="14"/>
    <s v="Networking"/>
    <n v="2"/>
    <n v="1802.9"/>
    <n v="0"/>
    <n v="3605.8"/>
    <n v="0"/>
    <n v="3605.8"/>
    <x v="2"/>
  </r>
  <r>
    <s v="ORD-0076"/>
    <s v="SP011"/>
    <d v="2024-05-07T00:00:00"/>
    <x v="1"/>
    <s v="Electronics"/>
    <n v="4"/>
    <n v="739.67"/>
    <n v="0.15"/>
    <n v="2958.68"/>
    <n v="443.80199999999996"/>
    <n v="2514.8779999999997"/>
    <x v="0"/>
  </r>
  <r>
    <s v="ORD-0077"/>
    <s v="SP015"/>
    <d v="2024-07-27T00:00:00"/>
    <x v="7"/>
    <s v="Office"/>
    <n v="5"/>
    <n v="1855.24"/>
    <n v="0"/>
    <n v="9276.2000000000007"/>
    <n v="0"/>
    <n v="9276.2000000000007"/>
    <x v="0"/>
  </r>
  <r>
    <s v="ORD-0078"/>
    <s v="SP014"/>
    <d v="2024-03-24T00:00:00"/>
    <x v="4"/>
    <s v="Accessories"/>
    <n v="6"/>
    <n v="1768.76"/>
    <n v="0"/>
    <n v="10612.56"/>
    <n v="0"/>
    <n v="10612.56"/>
    <x v="3"/>
  </r>
  <r>
    <s v="ORD-0079"/>
    <s v="SP003"/>
    <d v="2024-06-19T00:00:00"/>
    <x v="4"/>
    <s v="Accessories"/>
    <n v="14"/>
    <n v="1614.36"/>
    <n v="0.25"/>
    <n v="22601.039999999997"/>
    <n v="5650.2599999999993"/>
    <n v="16950.78"/>
    <x v="0"/>
  </r>
  <r>
    <s v="ORD-0080"/>
    <s v="SP012"/>
    <d v="2024-05-07T00:00:00"/>
    <x v="6"/>
    <s v="Accessories"/>
    <n v="6"/>
    <n v="1585.38"/>
    <n v="0"/>
    <n v="9512.2800000000007"/>
    <n v="0"/>
    <n v="9512.2800000000007"/>
    <x v="1"/>
  </r>
  <r>
    <s v="ORD-0081"/>
    <s v="SP007"/>
    <d v="2024-01-20T00:00:00"/>
    <x v="10"/>
    <s v="Accessories"/>
    <n v="16"/>
    <n v="483.75"/>
    <n v="0.25"/>
    <n v="7740"/>
    <n v="1935"/>
    <n v="5805"/>
    <x v="0"/>
  </r>
  <r>
    <s v="ORD-0082"/>
    <s v="SP015"/>
    <d v="2024-08-23T00:00:00"/>
    <x v="5"/>
    <s v="Electronics"/>
    <n v="10"/>
    <n v="1650.05"/>
    <n v="0.25"/>
    <n v="16500.5"/>
    <n v="4125.125"/>
    <n v="12375.375"/>
    <x v="0"/>
  </r>
  <r>
    <s v="ORD-0083"/>
    <s v="SP004"/>
    <d v="2024-04-24T00:00:00"/>
    <x v="0"/>
    <s v="Electronics"/>
    <n v="7"/>
    <n v="827.01"/>
    <n v="0.05"/>
    <n v="5789.07"/>
    <n v="289.45350000000002"/>
    <n v="5499.6165000000001"/>
    <x v="1"/>
  </r>
  <r>
    <s v="ORD-0084"/>
    <s v="SP014"/>
    <d v="2024-02-05T00:00:00"/>
    <x v="4"/>
    <s v="Accessories"/>
    <n v="9"/>
    <n v="734.73"/>
    <n v="0.15"/>
    <n v="6612.57"/>
    <n v="991.88549999999987"/>
    <n v="5620.6844999999994"/>
    <x v="3"/>
  </r>
  <r>
    <s v="ORD-0085"/>
    <s v="SP007"/>
    <d v="2024-12-13T00:00:00"/>
    <x v="10"/>
    <s v="Accessories"/>
    <n v="18"/>
    <n v="695.74"/>
    <n v="0"/>
    <n v="12523.32"/>
    <n v="0"/>
    <n v="12523.32"/>
    <x v="0"/>
  </r>
  <r>
    <s v="ORD-0086"/>
    <s v="SP002"/>
    <d v="2024-05-13T00:00:00"/>
    <x v="9"/>
    <s v="Accessories"/>
    <n v="19"/>
    <n v="1926.94"/>
    <n v="0.05"/>
    <n v="36611.86"/>
    <n v="1830.5930000000001"/>
    <n v="34781.267"/>
    <x v="3"/>
  </r>
  <r>
    <s v="ORD-0087"/>
    <s v="SP001"/>
    <d v="2024-02-25T00:00:00"/>
    <x v="7"/>
    <s v="Office"/>
    <n v="14"/>
    <n v="724.09"/>
    <n v="0.25"/>
    <n v="10137.26"/>
    <n v="2534.3150000000001"/>
    <n v="7602.9449999999997"/>
    <x v="2"/>
  </r>
  <r>
    <s v="ORD-0088"/>
    <s v="SP006"/>
    <d v="2024-08-11T00:00:00"/>
    <x v="7"/>
    <s v="Office"/>
    <n v="17"/>
    <n v="275.51"/>
    <n v="0.15"/>
    <n v="4683.67"/>
    <n v="702.55049999999994"/>
    <n v="3981.1195000000002"/>
    <x v="3"/>
  </r>
  <r>
    <s v="ORD-0089"/>
    <s v="SP004"/>
    <d v="2024-05-10T00:00:00"/>
    <x v="0"/>
    <s v="Electronics"/>
    <n v="14"/>
    <n v="53.3"/>
    <n v="0.25"/>
    <n v="746.19999999999993"/>
    <n v="186.54999999999998"/>
    <n v="559.65"/>
    <x v="1"/>
  </r>
  <r>
    <s v="ORD-0090"/>
    <s v="SP009"/>
    <d v="2024-12-17T00:00:00"/>
    <x v="12"/>
    <s v="Electronics"/>
    <n v="7"/>
    <n v="760.23"/>
    <n v="0"/>
    <n v="5321.6100000000006"/>
    <n v="0"/>
    <n v="5321.6100000000006"/>
    <x v="2"/>
  </r>
  <r>
    <s v="ORD-0091"/>
    <s v="SP011"/>
    <d v="2024-06-18T00:00:00"/>
    <x v="7"/>
    <s v="Office"/>
    <n v="11"/>
    <n v="1343.61"/>
    <n v="0"/>
    <n v="14779.71"/>
    <n v="0"/>
    <n v="14779.71"/>
    <x v="0"/>
  </r>
  <r>
    <s v="ORD-0092"/>
    <s v="SP012"/>
    <d v="2024-06-02T00:00:00"/>
    <x v="13"/>
    <s v="Office"/>
    <n v="10"/>
    <n v="1350.44"/>
    <n v="0.05"/>
    <n v="13504.400000000001"/>
    <n v="675.22000000000014"/>
    <n v="12829.180000000002"/>
    <x v="1"/>
  </r>
  <r>
    <s v="ORD-0093"/>
    <s v="SP007"/>
    <d v="2024-12-22T00:00:00"/>
    <x v="6"/>
    <s v="Accessories"/>
    <n v="18"/>
    <n v="298.20999999999998"/>
    <n v="0.1"/>
    <n v="5367.78"/>
    <n v="536.77800000000002"/>
    <n v="4831.0019999999995"/>
    <x v="0"/>
  </r>
  <r>
    <s v="ORD-0094"/>
    <s v="SP011"/>
    <d v="2024-07-13T00:00:00"/>
    <x v="1"/>
    <s v="Electronics"/>
    <n v="6"/>
    <n v="1250.25"/>
    <n v="0.05"/>
    <n v="7501.5"/>
    <n v="375.07500000000005"/>
    <n v="7126.4250000000002"/>
    <x v="0"/>
  </r>
  <r>
    <s v="ORD-0095"/>
    <s v="SP007"/>
    <d v="2024-10-07T00:00:00"/>
    <x v="10"/>
    <s v="Accessories"/>
    <n v="1"/>
    <n v="642.55999999999995"/>
    <n v="0"/>
    <n v="642.55999999999995"/>
    <n v="0"/>
    <n v="642.55999999999995"/>
    <x v="0"/>
  </r>
  <r>
    <s v="ORD-0096"/>
    <s v="SP007"/>
    <d v="2024-10-23T00:00:00"/>
    <x v="7"/>
    <s v="Office"/>
    <n v="11"/>
    <n v="956.73"/>
    <n v="0.1"/>
    <n v="10524.03"/>
    <n v="1052.403"/>
    <n v="9471.6270000000004"/>
    <x v="0"/>
  </r>
  <r>
    <s v="ORD-0097"/>
    <s v="SP011"/>
    <d v="2024-04-19T00:00:00"/>
    <x v="13"/>
    <s v="Office"/>
    <n v="16"/>
    <n v="1597.78"/>
    <n v="0.25"/>
    <n v="25564.48"/>
    <n v="6391.12"/>
    <n v="19173.36"/>
    <x v="0"/>
  </r>
  <r>
    <s v="ORD-0098"/>
    <s v="SP012"/>
    <d v="2024-03-27T00:00:00"/>
    <x v="1"/>
    <s v="Electronics"/>
    <n v="3"/>
    <n v="603.38"/>
    <n v="0.2"/>
    <n v="1810.1399999999999"/>
    <n v="362.02800000000002"/>
    <n v="1448.1119999999999"/>
    <x v="1"/>
  </r>
  <r>
    <s v="ORD-0099"/>
    <s v="SP011"/>
    <d v="2024-11-13T00:00:00"/>
    <x v="5"/>
    <s v="Electronics"/>
    <n v="3"/>
    <n v="1645.93"/>
    <n v="0.25"/>
    <n v="4937.79"/>
    <n v="1234.4475"/>
    <n v="3703.3424999999997"/>
    <x v="0"/>
  </r>
  <r>
    <s v="ORD-0100"/>
    <s v="SP004"/>
    <d v="2024-12-10T00:00:00"/>
    <x v="6"/>
    <s v="Accessories"/>
    <n v="8"/>
    <n v="1622.8"/>
    <n v="0"/>
    <n v="12982.4"/>
    <n v="0"/>
    <n v="12982.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0001"/>
    <s v="SP011"/>
    <x v="0"/>
    <x v="0"/>
    <s v="Electronics"/>
    <n v="9"/>
    <n v="527.54"/>
    <n v="0"/>
    <n v="4747.8599999999997"/>
    <n v="0"/>
    <n v="4747.8599999999997"/>
    <x v="0"/>
    <s v="ID is present"/>
    <x v="0"/>
  </r>
  <r>
    <s v="ORD-0002"/>
    <s v="SP012"/>
    <x v="1"/>
    <x v="1"/>
    <s v="Electronics"/>
    <n v="18"/>
    <n v="219.53"/>
    <n v="0.1"/>
    <n v="3951.54"/>
    <n v="395.154"/>
    <n v="3556.386"/>
    <x v="1"/>
    <s v="ID is present"/>
    <x v="0"/>
  </r>
  <r>
    <s v="ORD-0003"/>
    <s v="SP001"/>
    <x v="2"/>
    <x v="2"/>
    <s v="Electronics"/>
    <n v="7"/>
    <n v="503.69"/>
    <n v="0.15"/>
    <n v="3525.83"/>
    <n v="528.87450000000001"/>
    <n v="2996.9555"/>
    <x v="2"/>
    <s v="ID is present"/>
    <x v="1"/>
  </r>
  <r>
    <s v="ORD-0004"/>
    <s v="SP001"/>
    <x v="3"/>
    <x v="3"/>
    <s v="Accessories"/>
    <n v="18"/>
    <n v="868.06"/>
    <n v="0.1"/>
    <n v="15625.079999999998"/>
    <n v="1562.5079999999998"/>
    <n v="14062.571999999998"/>
    <x v="2"/>
    <s v="ID is present"/>
    <x v="2"/>
  </r>
  <r>
    <s v="ORD-0005"/>
    <s v="SP010"/>
    <x v="4"/>
    <x v="4"/>
    <s v="Accessories"/>
    <n v="1"/>
    <n v="1529.67"/>
    <n v="0"/>
    <n v="1529.67"/>
    <n v="0"/>
    <n v="1529.67"/>
    <x v="3"/>
    <s v="ID is present"/>
    <x v="3"/>
  </r>
  <r>
    <s v="ORD-0006"/>
    <s v="SP012"/>
    <x v="5"/>
    <x v="5"/>
    <s v="Electronics"/>
    <n v="9"/>
    <n v="353.19"/>
    <n v="0.25"/>
    <n v="3178.71"/>
    <n v="794.67750000000001"/>
    <n v="2384.0325000000003"/>
    <x v="1"/>
    <s v="ID is present"/>
    <x v="4"/>
  </r>
  <r>
    <s v="ORD-0007"/>
    <s v="SP006"/>
    <x v="1"/>
    <x v="2"/>
    <s v="Electronics"/>
    <n v="13"/>
    <n v="238.6"/>
    <n v="0.25"/>
    <n v="3101.7999999999997"/>
    <n v="775.44999999999993"/>
    <n v="2326.35"/>
    <x v="3"/>
    <s v="ID is present"/>
    <x v="0"/>
  </r>
  <r>
    <s v="ORD-0008"/>
    <s v="SP006"/>
    <x v="6"/>
    <x v="6"/>
    <s v="Accessories"/>
    <n v="2"/>
    <n v="1472.98"/>
    <n v="0.15"/>
    <n v="2945.96"/>
    <n v="441.89400000000001"/>
    <n v="2504.0659999999998"/>
    <x v="3"/>
    <s v="ID is present"/>
    <x v="5"/>
  </r>
  <r>
    <s v="ORD-0009"/>
    <s v="SP002"/>
    <x v="7"/>
    <x v="2"/>
    <s v="Electronics"/>
    <n v="18"/>
    <n v="621.70000000000005"/>
    <n v="0.2"/>
    <n v="11190.6"/>
    <n v="2238.1200000000003"/>
    <n v="8952.48"/>
    <x v="3"/>
    <s v="ID is present"/>
    <x v="6"/>
  </r>
  <r>
    <s v="ORD-0010"/>
    <s v="SP010"/>
    <x v="8"/>
    <x v="7"/>
    <s v="Office"/>
    <n v="7"/>
    <n v="1423.92"/>
    <n v="0"/>
    <n v="9967.44"/>
    <n v="0"/>
    <n v="9967.44"/>
    <x v="3"/>
    <s v="ID is present"/>
    <x v="6"/>
  </r>
  <r>
    <s v="ORD-0011"/>
    <s v="SP011"/>
    <x v="9"/>
    <x v="4"/>
    <s v="Accessories"/>
    <n v="10"/>
    <n v="1971.18"/>
    <n v="0.25"/>
    <n v="19711.8"/>
    <n v="4927.95"/>
    <n v="14783.849999999999"/>
    <x v="0"/>
    <s v="ID is present"/>
    <x v="7"/>
  </r>
  <r>
    <s v="ORD-0012"/>
    <s v="SP004"/>
    <x v="10"/>
    <x v="8"/>
    <s v="Furniture"/>
    <n v="9"/>
    <n v="934.15"/>
    <n v="0.25"/>
    <n v="8407.35"/>
    <n v="2101.8375000000001"/>
    <n v="6305.5125000000007"/>
    <x v="1"/>
    <s v="ID is present"/>
    <x v="0"/>
  </r>
  <r>
    <s v="ORD-0013"/>
    <s v="SP006"/>
    <x v="11"/>
    <x v="5"/>
    <s v="Electronics"/>
    <n v="12"/>
    <n v="458.54"/>
    <n v="0.05"/>
    <n v="5502.4800000000005"/>
    <n v="275.12400000000002"/>
    <n v="5227.3560000000007"/>
    <x v="3"/>
    <s v="ID is present"/>
    <x v="8"/>
  </r>
  <r>
    <s v="ORD-0014"/>
    <s v="SP012"/>
    <x v="12"/>
    <x v="1"/>
    <s v="Electronics"/>
    <n v="3"/>
    <n v="1237.81"/>
    <n v="0"/>
    <n v="3713.43"/>
    <n v="0"/>
    <n v="3713.43"/>
    <x v="1"/>
    <s v="ID is present"/>
    <x v="9"/>
  </r>
  <r>
    <s v="ORD-0015"/>
    <s v="SP009"/>
    <x v="13"/>
    <x v="9"/>
    <s v="Accessories"/>
    <n v="15"/>
    <n v="789.94"/>
    <n v="0.2"/>
    <n v="11849.1"/>
    <n v="2369.8200000000002"/>
    <n v="9479.2800000000007"/>
    <x v="2"/>
    <s v="ID is present"/>
    <x v="3"/>
  </r>
  <r>
    <s v="ORD-0016"/>
    <s v="SP012"/>
    <x v="14"/>
    <x v="3"/>
    <s v="Accessories"/>
    <n v="11"/>
    <n v="1693.56"/>
    <n v="0.25"/>
    <n v="18629.16"/>
    <n v="4657.29"/>
    <n v="13971.869999999999"/>
    <x v="1"/>
    <s v="ID is present"/>
    <x v="2"/>
  </r>
  <r>
    <s v="ORD-0017"/>
    <s v="SP001"/>
    <x v="15"/>
    <x v="10"/>
    <s v="Accessories"/>
    <n v="2"/>
    <n v="1619.84"/>
    <n v="0.1"/>
    <n v="3239.68"/>
    <n v="323.96800000000002"/>
    <n v="2915.712"/>
    <x v="2"/>
    <s v="ID is present"/>
    <x v="7"/>
  </r>
  <r>
    <s v="ORD-0018"/>
    <s v="SP005"/>
    <x v="16"/>
    <x v="3"/>
    <s v="Accessories"/>
    <n v="19"/>
    <n v="1758.92"/>
    <n v="0.05"/>
    <n v="33419.480000000003"/>
    <n v="1670.9740000000002"/>
    <n v="31748.506000000001"/>
    <x v="2"/>
    <s v="ID is present"/>
    <x v="0"/>
  </r>
  <r>
    <s v="ORD-0019"/>
    <s v="SP004"/>
    <x v="17"/>
    <x v="11"/>
    <s v="Furniture"/>
    <n v="13"/>
    <n v="1775.13"/>
    <n v="0.2"/>
    <n v="23076.690000000002"/>
    <n v="4615.3380000000006"/>
    <n v="18461.352000000003"/>
    <x v="1"/>
    <s v="ID is present"/>
    <x v="9"/>
  </r>
  <r>
    <s v="ORD-0020"/>
    <s v="SP008"/>
    <x v="18"/>
    <x v="6"/>
    <s v="Accessories"/>
    <n v="5"/>
    <n v="530.91999999999996"/>
    <n v="0.15"/>
    <n v="2654.6"/>
    <n v="398.19"/>
    <n v="2256.41"/>
    <x v="1"/>
    <s v="ID is present"/>
    <x v="8"/>
  </r>
  <r>
    <s v="ORD-0021"/>
    <s v="SP009"/>
    <x v="19"/>
    <x v="12"/>
    <s v="Electronics"/>
    <n v="19"/>
    <n v="885.45"/>
    <n v="0.15"/>
    <n v="16823.55"/>
    <n v="2523.5324999999998"/>
    <n v="14300.0175"/>
    <x v="2"/>
    <s v="ID is present"/>
    <x v="3"/>
  </r>
  <r>
    <s v="ORD-0022"/>
    <s v="SP007"/>
    <x v="8"/>
    <x v="3"/>
    <s v="Accessories"/>
    <n v="5"/>
    <n v="1043.58"/>
    <n v="0"/>
    <n v="5217.8999999999996"/>
    <n v="0"/>
    <n v="5217.8999999999996"/>
    <x v="0"/>
    <s v="ID is present"/>
    <x v="6"/>
  </r>
  <r>
    <s v="ORD-0023"/>
    <s v="SP013"/>
    <x v="20"/>
    <x v="10"/>
    <s v="Accessories"/>
    <n v="4"/>
    <n v="348.04"/>
    <n v="0"/>
    <n v="1392.16"/>
    <n v="0"/>
    <n v="1392.16"/>
    <x v="2"/>
    <s v="ID is present"/>
    <x v="1"/>
  </r>
  <r>
    <s v="ORD-0024"/>
    <s v="SP013"/>
    <x v="21"/>
    <x v="8"/>
    <s v="Furniture"/>
    <n v="20"/>
    <n v="173.88"/>
    <n v="0.1"/>
    <n v="3477.6"/>
    <n v="347.76"/>
    <n v="3129.84"/>
    <x v="2"/>
    <s v="ID is present"/>
    <x v="9"/>
  </r>
  <r>
    <s v="ORD-0025"/>
    <s v="SP010"/>
    <x v="22"/>
    <x v="13"/>
    <s v="Office"/>
    <n v="9"/>
    <n v="1943.6"/>
    <n v="0.25"/>
    <n v="17492.399999999998"/>
    <n v="4373.0999999999995"/>
    <n v="13119.3"/>
    <x v="3"/>
    <s v="ID is present"/>
    <x v="4"/>
  </r>
  <r>
    <s v="ORD-0026"/>
    <s v="SP001"/>
    <x v="21"/>
    <x v="12"/>
    <s v="Electronics"/>
    <n v="4"/>
    <n v="1379.34"/>
    <n v="0.15"/>
    <n v="5517.36"/>
    <n v="827.60399999999993"/>
    <n v="4689.7559999999994"/>
    <x v="2"/>
    <s v="ID is present"/>
    <x v="9"/>
  </r>
  <r>
    <s v="ORD-0027"/>
    <s v="SP013"/>
    <x v="23"/>
    <x v="4"/>
    <s v="Accessories"/>
    <n v="11"/>
    <n v="267.52999999999997"/>
    <n v="0.1"/>
    <n v="2942.83"/>
    <n v="294.28300000000002"/>
    <n v="2648.547"/>
    <x v="2"/>
    <s v="ID is present"/>
    <x v="3"/>
  </r>
  <r>
    <s v="ORD-0028"/>
    <s v="SP003"/>
    <x v="24"/>
    <x v="0"/>
    <s v="Electronics"/>
    <n v="9"/>
    <n v="1945.18"/>
    <n v="0.25"/>
    <n v="17506.62"/>
    <n v="4376.6549999999997"/>
    <n v="13129.965"/>
    <x v="0"/>
    <s v="ID is present"/>
    <x v="4"/>
  </r>
  <r>
    <s v="ORD-0029"/>
    <s v="SP003"/>
    <x v="25"/>
    <x v="14"/>
    <s v="Networking"/>
    <n v="4"/>
    <n v="1747.51"/>
    <n v="0.05"/>
    <n v="6990.04"/>
    <n v="349.50200000000001"/>
    <n v="6640.5379999999996"/>
    <x v="0"/>
    <s v="ID is present"/>
    <x v="10"/>
  </r>
  <r>
    <s v="ORD-0030"/>
    <s v="SP014"/>
    <x v="26"/>
    <x v="13"/>
    <s v="Office"/>
    <n v="20"/>
    <n v="437.88"/>
    <n v="0.05"/>
    <n v="8757.6"/>
    <n v="437.88000000000005"/>
    <n v="8319.7200000000012"/>
    <x v="3"/>
    <s v="ID is present"/>
    <x v="5"/>
  </r>
  <r>
    <s v="ORD-0031"/>
    <s v="SP013"/>
    <x v="27"/>
    <x v="13"/>
    <s v="Office"/>
    <n v="17"/>
    <n v="1841.06"/>
    <n v="0.15"/>
    <n v="31298.02"/>
    <n v="4694.7029999999995"/>
    <n v="26603.317000000003"/>
    <x v="2"/>
    <s v="ID is present"/>
    <x v="8"/>
  </r>
  <r>
    <s v="ORD-0032"/>
    <s v="SP006"/>
    <x v="28"/>
    <x v="0"/>
    <s v="Electronics"/>
    <n v="4"/>
    <n v="1861.74"/>
    <n v="0.25"/>
    <n v="7446.96"/>
    <n v="1861.74"/>
    <n v="5585.22"/>
    <x v="3"/>
    <s v="ID is present"/>
    <x v="10"/>
  </r>
  <r>
    <s v="ORD-0033"/>
    <s v="SP013"/>
    <x v="29"/>
    <x v="3"/>
    <s v="Accessories"/>
    <n v="2"/>
    <n v="519.70000000000005"/>
    <n v="0.15"/>
    <n v="1039.4000000000001"/>
    <n v="155.91"/>
    <n v="883.49000000000012"/>
    <x v="2"/>
    <s v="ID is present"/>
    <x v="11"/>
  </r>
  <r>
    <s v="ORD-0034"/>
    <s v="SP002"/>
    <x v="30"/>
    <x v="12"/>
    <s v="Electronics"/>
    <n v="16"/>
    <n v="1641.25"/>
    <n v="0.25"/>
    <n v="26260"/>
    <n v="6565"/>
    <n v="19695"/>
    <x v="3"/>
    <s v="ID is present"/>
    <x v="0"/>
  </r>
  <r>
    <s v="ORD-0035"/>
    <s v="SP009"/>
    <x v="31"/>
    <x v="9"/>
    <s v="Accessories"/>
    <n v="16"/>
    <n v="1896.35"/>
    <n v="0"/>
    <n v="30341.599999999999"/>
    <n v="0"/>
    <n v="30341.599999999999"/>
    <x v="2"/>
    <s v="ID is present"/>
    <x v="8"/>
  </r>
  <r>
    <s v="ORD-0036"/>
    <s v="SP005"/>
    <x v="32"/>
    <x v="10"/>
    <s v="Accessories"/>
    <n v="20"/>
    <n v="875.12"/>
    <n v="0"/>
    <n v="17502.400000000001"/>
    <n v="0"/>
    <n v="17502.400000000001"/>
    <x v="2"/>
    <s v="ID is present"/>
    <x v="10"/>
  </r>
  <r>
    <s v="ORD-0037"/>
    <s v="SP015"/>
    <x v="33"/>
    <x v="4"/>
    <s v="Accessories"/>
    <n v="7"/>
    <n v="1440.25"/>
    <n v="0.1"/>
    <n v="10081.75"/>
    <n v="1008.1750000000001"/>
    <n v="9073.5750000000007"/>
    <x v="0"/>
    <s v="ID is present"/>
    <x v="2"/>
  </r>
  <r>
    <s v="ORD-0038"/>
    <s v="SP011"/>
    <x v="34"/>
    <x v="5"/>
    <s v="Electronics"/>
    <n v="15"/>
    <n v="1804.25"/>
    <n v="0.1"/>
    <n v="27063.75"/>
    <n v="2706.375"/>
    <n v="24357.375"/>
    <x v="0"/>
    <s v="ID is present"/>
    <x v="5"/>
  </r>
  <r>
    <s v="ORD-0039"/>
    <s v="SP002"/>
    <x v="35"/>
    <x v="3"/>
    <s v="Accessories"/>
    <n v="3"/>
    <n v="709.27"/>
    <n v="0.15"/>
    <n v="2127.81"/>
    <n v="319.17149999999998"/>
    <n v="1808.6385"/>
    <x v="3"/>
    <s v="ID is present"/>
    <x v="3"/>
  </r>
  <r>
    <s v="ORD-0040"/>
    <s v="SP009"/>
    <x v="15"/>
    <x v="7"/>
    <s v="Office"/>
    <n v="8"/>
    <n v="64.02"/>
    <n v="0.2"/>
    <n v="512.16"/>
    <n v="102.432"/>
    <n v="409.72799999999995"/>
    <x v="2"/>
    <s v="ID is present"/>
    <x v="7"/>
  </r>
  <r>
    <s v="ORD-0041"/>
    <s v="SP011"/>
    <x v="36"/>
    <x v="3"/>
    <s v="Accessories"/>
    <n v="3"/>
    <n v="1815.57"/>
    <n v="0.25"/>
    <n v="5446.71"/>
    <n v="1361.6775"/>
    <n v="4085.0325000000003"/>
    <x v="0"/>
    <s v="ID is present"/>
    <x v="1"/>
  </r>
  <r>
    <s v="ORD-0042"/>
    <s v="SP006"/>
    <x v="37"/>
    <x v="13"/>
    <s v="Office"/>
    <n v="8"/>
    <n v="593.03"/>
    <n v="0.1"/>
    <n v="4744.24"/>
    <n v="474.42399999999998"/>
    <n v="4269.8159999999998"/>
    <x v="3"/>
    <s v="ID is present"/>
    <x v="0"/>
  </r>
  <r>
    <s v="ORD-0043"/>
    <s v="SP004"/>
    <x v="33"/>
    <x v="9"/>
    <s v="Accessories"/>
    <n v="19"/>
    <n v="1173.6099999999999"/>
    <n v="0"/>
    <n v="22298.589999999997"/>
    <n v="0"/>
    <n v="22298.589999999997"/>
    <x v="1"/>
    <s v="ID is present"/>
    <x v="2"/>
  </r>
  <r>
    <s v="ORD-0044"/>
    <s v="SP013"/>
    <x v="38"/>
    <x v="4"/>
    <s v="Accessories"/>
    <n v="14"/>
    <n v="421.3"/>
    <n v="0"/>
    <n v="5898.2"/>
    <n v="0"/>
    <n v="5898.2"/>
    <x v="2"/>
    <s v="ID is present"/>
    <x v="4"/>
  </r>
  <r>
    <s v="ORD-0045"/>
    <s v="SP011"/>
    <x v="39"/>
    <x v="5"/>
    <s v="Electronics"/>
    <n v="14"/>
    <n v="851.65"/>
    <n v="0.25"/>
    <n v="11923.1"/>
    <n v="2980.7750000000001"/>
    <n v="8942.3250000000007"/>
    <x v="0"/>
    <s v="ID is present"/>
    <x v="4"/>
  </r>
  <r>
    <s v="ORD-0046"/>
    <s v="SP012"/>
    <x v="40"/>
    <x v="1"/>
    <s v="Electronics"/>
    <n v="4"/>
    <n v="168.19"/>
    <n v="0.2"/>
    <n v="672.76"/>
    <n v="134.55199999999999"/>
    <n v="538.20799999999997"/>
    <x v="1"/>
    <s v="ID is present"/>
    <x v="1"/>
  </r>
  <r>
    <s v="ORD-0047"/>
    <s v="SP006"/>
    <x v="41"/>
    <x v="3"/>
    <s v="Accessories"/>
    <n v="7"/>
    <n v="420.91"/>
    <n v="0.1"/>
    <n v="2946.3700000000003"/>
    <n v="294.63700000000006"/>
    <n v="2651.7330000000002"/>
    <x v="3"/>
    <s v="ID is present"/>
    <x v="0"/>
  </r>
  <r>
    <s v="ORD-0048"/>
    <s v="SP003"/>
    <x v="5"/>
    <x v="9"/>
    <s v="Accessories"/>
    <n v="9"/>
    <n v="952.12"/>
    <n v="0.25"/>
    <n v="8569.08"/>
    <n v="2142.27"/>
    <n v="6426.8099999999995"/>
    <x v="0"/>
    <s v="ID is present"/>
    <x v="4"/>
  </r>
  <r>
    <s v="ORD-0049"/>
    <s v="SP015"/>
    <x v="42"/>
    <x v="11"/>
    <s v="Furniture"/>
    <n v="18"/>
    <n v="240.92"/>
    <n v="0.2"/>
    <n v="4336.5599999999995"/>
    <n v="867.3119999999999"/>
    <n v="3469.2479999999996"/>
    <x v="0"/>
    <s v="ID is present"/>
    <x v="0"/>
  </r>
  <r>
    <s v="ORD-0050"/>
    <s v="SP009"/>
    <x v="43"/>
    <x v="2"/>
    <s v="Electronics"/>
    <n v="8"/>
    <n v="374.31"/>
    <n v="0.1"/>
    <n v="2994.48"/>
    <n v="299.44800000000004"/>
    <n v="2695.0320000000002"/>
    <x v="2"/>
    <s v="ID is present"/>
    <x v="1"/>
  </r>
  <r>
    <s v="ORD-0051"/>
    <s v="SP008"/>
    <x v="44"/>
    <x v="10"/>
    <s v="Accessories"/>
    <n v="13"/>
    <n v="1809.76"/>
    <n v="0"/>
    <n v="23526.880000000001"/>
    <n v="0"/>
    <n v="23526.880000000001"/>
    <x v="1"/>
    <s v="ID is present"/>
    <x v="7"/>
  </r>
  <r>
    <s v="ORD-0052"/>
    <s v="SP007"/>
    <x v="45"/>
    <x v="8"/>
    <s v="Furniture"/>
    <n v="9"/>
    <n v="1856.71"/>
    <n v="0.25"/>
    <n v="16710.39"/>
    <n v="4177.5974999999999"/>
    <n v="12532.7925"/>
    <x v="0"/>
    <s v="ID is present"/>
    <x v="1"/>
  </r>
  <r>
    <s v="ORD-0053"/>
    <s v="SP008"/>
    <x v="46"/>
    <x v="8"/>
    <s v="Furniture"/>
    <n v="18"/>
    <n v="1340.65"/>
    <n v="0.1"/>
    <n v="24131.7"/>
    <n v="2413.17"/>
    <n v="21718.53"/>
    <x v="1"/>
    <s v="ID is present"/>
    <x v="3"/>
  </r>
  <r>
    <s v="ORD-0054"/>
    <s v="SP003"/>
    <x v="47"/>
    <x v="6"/>
    <s v="Accessories"/>
    <n v="7"/>
    <n v="1938.98"/>
    <n v="0.15"/>
    <n v="13572.86"/>
    <n v="2035.9290000000001"/>
    <n v="11536.931"/>
    <x v="0"/>
    <s v="ID is present"/>
    <x v="7"/>
  </r>
  <r>
    <s v="ORD-0055"/>
    <s v="SP012"/>
    <x v="48"/>
    <x v="0"/>
    <s v="Electronics"/>
    <n v="11"/>
    <n v="161.47"/>
    <n v="0.15"/>
    <n v="1776.17"/>
    <n v="266.4255"/>
    <n v="1509.7445"/>
    <x v="1"/>
    <s v="ID is present"/>
    <x v="2"/>
  </r>
  <r>
    <s v="ORD-0056"/>
    <s v="SP008"/>
    <x v="49"/>
    <x v="14"/>
    <s v="Networking"/>
    <n v="17"/>
    <n v="356.99"/>
    <n v="0.15"/>
    <n v="6068.83"/>
    <n v="910.32449999999994"/>
    <n v="5158.5055000000002"/>
    <x v="1"/>
    <s v="ID is present"/>
    <x v="10"/>
  </r>
  <r>
    <s v="ORD-0057"/>
    <s v="SP002"/>
    <x v="50"/>
    <x v="2"/>
    <s v="Electronics"/>
    <n v="20"/>
    <n v="182.52"/>
    <n v="0.25"/>
    <n v="3650.4"/>
    <n v="912.6"/>
    <n v="2737.8"/>
    <x v="3"/>
    <s v="ID is present"/>
    <x v="7"/>
  </r>
  <r>
    <s v="ORD-0058"/>
    <s v="SP004"/>
    <x v="51"/>
    <x v="2"/>
    <s v="Electronics"/>
    <n v="19"/>
    <n v="530.12"/>
    <n v="0.15"/>
    <n v="10072.280000000001"/>
    <n v="1510.8420000000001"/>
    <n v="8561.4380000000001"/>
    <x v="1"/>
    <s v="ID is present"/>
    <x v="6"/>
  </r>
  <r>
    <s v="ORD-0059"/>
    <s v="SP001"/>
    <x v="52"/>
    <x v="2"/>
    <s v="Electronics"/>
    <n v="14"/>
    <n v="1331.88"/>
    <n v="0.15"/>
    <n v="18646.32"/>
    <n v="2796.9479999999999"/>
    <n v="15849.371999999999"/>
    <x v="2"/>
    <s v="ID is present"/>
    <x v="5"/>
  </r>
  <r>
    <s v="ORD-0060"/>
    <s v="SP009"/>
    <x v="53"/>
    <x v="14"/>
    <s v="Networking"/>
    <n v="9"/>
    <n v="448.31"/>
    <n v="0.2"/>
    <n v="4034.79"/>
    <n v="806.95800000000008"/>
    <n v="3227.8319999999999"/>
    <x v="2"/>
    <s v="ID is present"/>
    <x v="11"/>
  </r>
  <r>
    <s v="ORD-0061"/>
    <s v="SP006"/>
    <x v="54"/>
    <x v="6"/>
    <s v="Accessories"/>
    <n v="13"/>
    <n v="305.20999999999998"/>
    <n v="0.2"/>
    <n v="3967.7299999999996"/>
    <n v="793.54599999999994"/>
    <n v="3174.1839999999997"/>
    <x v="3"/>
    <s v="ID is present"/>
    <x v="3"/>
  </r>
  <r>
    <s v="ORD-0062"/>
    <s v="SP005"/>
    <x v="55"/>
    <x v="5"/>
    <s v="Electronics"/>
    <n v="3"/>
    <n v="68.17"/>
    <n v="0.15"/>
    <n v="204.51"/>
    <n v="30.676499999999997"/>
    <n v="173.83349999999999"/>
    <x v="2"/>
    <s v="ID is present"/>
    <x v="4"/>
  </r>
  <r>
    <s v="ORD-0063"/>
    <s v="SP010"/>
    <x v="10"/>
    <x v="2"/>
    <s v="Electronics"/>
    <n v="18"/>
    <n v="465.65"/>
    <n v="0.05"/>
    <n v="8381.6999999999989"/>
    <n v="419.08499999999998"/>
    <n v="7962.6149999999989"/>
    <x v="3"/>
    <s v="ID is present"/>
    <x v="0"/>
  </r>
  <r>
    <s v="ORD-0064"/>
    <s v="SP003"/>
    <x v="56"/>
    <x v="14"/>
    <s v="Networking"/>
    <n v="3"/>
    <n v="1764.58"/>
    <n v="0.05"/>
    <n v="5293.74"/>
    <n v="264.68700000000001"/>
    <n v="5029.0529999999999"/>
    <x v="0"/>
    <s v="ID is present"/>
    <x v="11"/>
  </r>
  <r>
    <s v="ORD-0065"/>
    <s v="SP005"/>
    <x v="57"/>
    <x v="11"/>
    <s v="Furniture"/>
    <n v="18"/>
    <n v="1421.9"/>
    <n v="0.15"/>
    <n v="25594.2"/>
    <n v="3839.13"/>
    <n v="21755.07"/>
    <x v="2"/>
    <s v="ID is present"/>
    <x v="8"/>
  </r>
  <r>
    <s v="ORD-0066"/>
    <s v="SP013"/>
    <x v="58"/>
    <x v="13"/>
    <s v="Office"/>
    <n v="1"/>
    <n v="1352.33"/>
    <n v="0.15"/>
    <n v="1352.33"/>
    <n v="202.84949999999998"/>
    <n v="1149.4804999999999"/>
    <x v="2"/>
    <s v="ID is present"/>
    <x v="5"/>
  </r>
  <r>
    <s v="ORD-0067"/>
    <s v="SP005"/>
    <x v="59"/>
    <x v="2"/>
    <s v="Electronics"/>
    <n v="5"/>
    <n v="565.71"/>
    <n v="0"/>
    <n v="2828.55"/>
    <n v="0"/>
    <n v="2828.55"/>
    <x v="2"/>
    <s v="ID is present"/>
    <x v="9"/>
  </r>
  <r>
    <s v="ORD-0068"/>
    <s v="SP012"/>
    <x v="60"/>
    <x v="9"/>
    <s v="Accessories"/>
    <n v="9"/>
    <n v="599.41999999999996"/>
    <n v="0"/>
    <n v="5394.78"/>
    <n v="0"/>
    <n v="5394.78"/>
    <x v="1"/>
    <s v="ID is present"/>
    <x v="2"/>
  </r>
  <r>
    <s v="ORD-0069"/>
    <s v="SP012"/>
    <x v="61"/>
    <x v="3"/>
    <s v="Accessories"/>
    <n v="9"/>
    <n v="1035.55"/>
    <n v="0.05"/>
    <n v="9319.9499999999989"/>
    <n v="465.99749999999995"/>
    <n v="8853.9524999999994"/>
    <x v="1"/>
    <s v="ID is present"/>
    <x v="11"/>
  </r>
  <r>
    <s v="ORD-0070"/>
    <s v="SP015"/>
    <x v="62"/>
    <x v="2"/>
    <s v="Electronics"/>
    <n v="14"/>
    <n v="1667.23"/>
    <n v="0"/>
    <n v="23341.22"/>
    <n v="0"/>
    <n v="23341.22"/>
    <x v="0"/>
    <s v="ID is present"/>
    <x v="1"/>
  </r>
  <r>
    <s v="ORD-0071"/>
    <s v="SP001"/>
    <x v="63"/>
    <x v="4"/>
    <s v="Accessories"/>
    <n v="5"/>
    <n v="1292.3699999999999"/>
    <n v="0.05"/>
    <n v="6461.8499999999995"/>
    <n v="323.09249999999997"/>
    <n v="6138.7574999999997"/>
    <x v="2"/>
    <s v="ID is present"/>
    <x v="11"/>
  </r>
  <r>
    <s v="ORD-0072"/>
    <s v="SP003"/>
    <x v="64"/>
    <x v="13"/>
    <s v="Office"/>
    <n v="14"/>
    <n v="1143.77"/>
    <n v="0"/>
    <n v="16012.779999999999"/>
    <n v="0"/>
    <n v="16012.779999999999"/>
    <x v="0"/>
    <s v="ID is present"/>
    <x v="4"/>
  </r>
  <r>
    <s v="ORD-0073"/>
    <s v="SP002"/>
    <x v="65"/>
    <x v="14"/>
    <s v="Networking"/>
    <n v="5"/>
    <n v="1113.9000000000001"/>
    <n v="0.25"/>
    <n v="5569.5"/>
    <n v="1392.375"/>
    <n v="4177.125"/>
    <x v="3"/>
    <s v="ID is present"/>
    <x v="9"/>
  </r>
  <r>
    <s v="ORD-0074"/>
    <s v="SP006"/>
    <x v="66"/>
    <x v="13"/>
    <s v="Office"/>
    <n v="5"/>
    <n v="888.08"/>
    <n v="0"/>
    <n v="4440.4000000000005"/>
    <n v="0"/>
    <n v="4440.4000000000005"/>
    <x v="3"/>
    <s v="ID is present"/>
    <x v="2"/>
  </r>
  <r>
    <s v="ORD-0075"/>
    <s v="SP005"/>
    <x v="67"/>
    <x v="14"/>
    <s v="Networking"/>
    <n v="2"/>
    <n v="1802.9"/>
    <n v="0"/>
    <n v="3605.8"/>
    <n v="0"/>
    <n v="3605.8"/>
    <x v="2"/>
    <s v="ID is present"/>
    <x v="6"/>
  </r>
  <r>
    <s v="ORD-0076"/>
    <s v="SP011"/>
    <x v="68"/>
    <x v="1"/>
    <s v="Electronics"/>
    <n v="4"/>
    <n v="739.67"/>
    <n v="0.15"/>
    <n v="2958.68"/>
    <n v="443.80199999999996"/>
    <n v="2514.8779999999997"/>
    <x v="0"/>
    <s v="ID is present"/>
    <x v="3"/>
  </r>
  <r>
    <s v="ORD-0077"/>
    <s v="SP015"/>
    <x v="69"/>
    <x v="7"/>
    <s v="Office"/>
    <n v="5"/>
    <n v="1855.24"/>
    <n v="0"/>
    <n v="9276.2000000000007"/>
    <n v="0"/>
    <n v="9276.2000000000007"/>
    <x v="0"/>
    <s v="ID is present"/>
    <x v="6"/>
  </r>
  <r>
    <s v="ORD-0078"/>
    <s v="SP014"/>
    <x v="11"/>
    <x v="4"/>
    <s v="Accessories"/>
    <n v="6"/>
    <n v="1768.76"/>
    <n v="0"/>
    <n v="10612.56"/>
    <n v="0"/>
    <n v="10612.56"/>
    <x v="3"/>
    <s v="ID is present"/>
    <x v="8"/>
  </r>
  <r>
    <s v="ORD-0079"/>
    <s v="SP003"/>
    <x v="63"/>
    <x v="4"/>
    <s v="Accessories"/>
    <n v="14"/>
    <n v="1614.36"/>
    <n v="0.25"/>
    <n v="22601.039999999997"/>
    <n v="5650.2599999999993"/>
    <n v="16950.78"/>
    <x v="0"/>
    <s v="ID is present"/>
    <x v="11"/>
  </r>
  <r>
    <s v="ORD-0080"/>
    <s v="SP012"/>
    <x v="68"/>
    <x v="6"/>
    <s v="Accessories"/>
    <n v="6"/>
    <n v="1585.38"/>
    <n v="0"/>
    <n v="9512.2800000000007"/>
    <n v="0"/>
    <n v="9512.2800000000007"/>
    <x v="1"/>
    <s v="ID is present"/>
    <x v="3"/>
  </r>
  <r>
    <s v="ORD-0081"/>
    <s v="SP007"/>
    <x v="70"/>
    <x v="10"/>
    <s v="Accessories"/>
    <n v="16"/>
    <n v="483.75"/>
    <n v="0.25"/>
    <n v="7740"/>
    <n v="1935"/>
    <n v="5805"/>
    <x v="0"/>
    <s v="ID is present"/>
    <x v="1"/>
  </r>
  <r>
    <s v="ORD-0082"/>
    <s v="SP015"/>
    <x v="71"/>
    <x v="5"/>
    <s v="Electronics"/>
    <n v="10"/>
    <n v="1650.05"/>
    <n v="0.25"/>
    <n v="16500.5"/>
    <n v="4125.125"/>
    <n v="12375.375"/>
    <x v="0"/>
    <s v="ID is present"/>
    <x v="4"/>
  </r>
  <r>
    <s v="ORD-0083"/>
    <s v="SP004"/>
    <x v="72"/>
    <x v="0"/>
    <s v="Electronics"/>
    <n v="7"/>
    <n v="827.01"/>
    <n v="0.05"/>
    <n v="5789.07"/>
    <n v="289.45350000000002"/>
    <n v="5499.6165000000001"/>
    <x v="1"/>
    <s v="ID is present"/>
    <x v="7"/>
  </r>
  <r>
    <s v="ORD-0084"/>
    <s v="SP014"/>
    <x v="73"/>
    <x v="4"/>
    <s v="Accessories"/>
    <n v="9"/>
    <n v="734.73"/>
    <n v="0.15"/>
    <n v="6612.57"/>
    <n v="991.88549999999987"/>
    <n v="5620.6844999999994"/>
    <x v="3"/>
    <s v="ID is present"/>
    <x v="0"/>
  </r>
  <r>
    <s v="ORD-0085"/>
    <s v="SP007"/>
    <x v="74"/>
    <x v="10"/>
    <s v="Accessories"/>
    <n v="18"/>
    <n v="695.74"/>
    <n v="0"/>
    <n v="12523.32"/>
    <n v="0"/>
    <n v="12523.32"/>
    <x v="0"/>
    <s v="ID is present"/>
    <x v="9"/>
  </r>
  <r>
    <s v="ORD-0086"/>
    <s v="SP002"/>
    <x v="75"/>
    <x v="9"/>
    <s v="Accessories"/>
    <n v="19"/>
    <n v="1926.94"/>
    <n v="0.05"/>
    <n v="36611.86"/>
    <n v="1830.5930000000001"/>
    <n v="34781.267"/>
    <x v="3"/>
    <s v="ID is present"/>
    <x v="3"/>
  </r>
  <r>
    <s v="ORD-0087"/>
    <s v="SP001"/>
    <x v="41"/>
    <x v="7"/>
    <s v="Office"/>
    <n v="14"/>
    <n v="724.09"/>
    <n v="0.25"/>
    <n v="10137.26"/>
    <n v="2534.3150000000001"/>
    <n v="7602.9449999999997"/>
    <x v="2"/>
    <s v="ID is present"/>
    <x v="0"/>
  </r>
  <r>
    <s v="ORD-0088"/>
    <s v="SP006"/>
    <x v="76"/>
    <x v="7"/>
    <s v="Office"/>
    <n v="17"/>
    <n v="275.51"/>
    <n v="0.15"/>
    <n v="4683.67"/>
    <n v="702.55049999999994"/>
    <n v="3981.1195000000002"/>
    <x v="3"/>
    <s v="ID is present"/>
    <x v="4"/>
  </r>
  <r>
    <s v="ORD-0089"/>
    <s v="SP004"/>
    <x v="77"/>
    <x v="0"/>
    <s v="Electronics"/>
    <n v="14"/>
    <n v="53.3"/>
    <n v="0.25"/>
    <n v="746.19999999999993"/>
    <n v="186.54999999999998"/>
    <n v="559.65"/>
    <x v="1"/>
    <s v="ID is present"/>
    <x v="3"/>
  </r>
  <r>
    <s v="ORD-0090"/>
    <s v="SP009"/>
    <x v="78"/>
    <x v="12"/>
    <s v="Electronics"/>
    <n v="7"/>
    <n v="760.23"/>
    <n v="0"/>
    <n v="5321.6100000000006"/>
    <n v="0"/>
    <n v="5321.6100000000006"/>
    <x v="2"/>
    <s v="ID is present"/>
    <x v="9"/>
  </r>
  <r>
    <s v="ORD-0091"/>
    <s v="SP011"/>
    <x v="79"/>
    <x v="7"/>
    <s v="Office"/>
    <n v="11"/>
    <n v="1343.61"/>
    <n v="0"/>
    <n v="14779.71"/>
    <n v="0"/>
    <n v="14779.71"/>
    <x v="0"/>
    <s v="ID is present"/>
    <x v="11"/>
  </r>
  <r>
    <s v="ORD-0092"/>
    <s v="SP012"/>
    <x v="80"/>
    <x v="13"/>
    <s v="Office"/>
    <n v="10"/>
    <n v="1350.44"/>
    <n v="0.05"/>
    <n v="13504.400000000001"/>
    <n v="675.22000000000014"/>
    <n v="12829.180000000002"/>
    <x v="1"/>
    <s v="ID is present"/>
    <x v="11"/>
  </r>
  <r>
    <s v="ORD-0093"/>
    <s v="SP007"/>
    <x v="81"/>
    <x v="6"/>
    <s v="Accessories"/>
    <n v="18"/>
    <n v="298.20999999999998"/>
    <n v="0.1"/>
    <n v="5367.78"/>
    <n v="536.77800000000002"/>
    <n v="4831.0019999999995"/>
    <x v="0"/>
    <s v="ID is present"/>
    <x v="9"/>
  </r>
  <r>
    <s v="ORD-0094"/>
    <s v="SP011"/>
    <x v="82"/>
    <x v="1"/>
    <s v="Electronics"/>
    <n v="6"/>
    <n v="1250.25"/>
    <n v="0.05"/>
    <n v="7501.5"/>
    <n v="375.07500000000005"/>
    <n v="7126.4250000000002"/>
    <x v="0"/>
    <s v="ID is present"/>
    <x v="6"/>
  </r>
  <r>
    <s v="ORD-0095"/>
    <s v="SP007"/>
    <x v="83"/>
    <x v="10"/>
    <s v="Accessories"/>
    <n v="1"/>
    <n v="642.55999999999995"/>
    <n v="0"/>
    <n v="642.55999999999995"/>
    <n v="0"/>
    <n v="642.55999999999995"/>
    <x v="0"/>
    <s v="ID is present"/>
    <x v="2"/>
  </r>
  <r>
    <s v="ORD-0096"/>
    <s v="SP007"/>
    <x v="84"/>
    <x v="7"/>
    <s v="Office"/>
    <n v="11"/>
    <n v="956.73"/>
    <n v="0.1"/>
    <n v="10524.03"/>
    <n v="1052.403"/>
    <n v="9471.6270000000004"/>
    <x v="0"/>
    <s v="ID is present"/>
    <x v="2"/>
  </r>
  <r>
    <s v="ORD-0097"/>
    <s v="SP011"/>
    <x v="44"/>
    <x v="13"/>
    <s v="Office"/>
    <n v="16"/>
    <n v="1597.78"/>
    <n v="0.25"/>
    <n v="25564.48"/>
    <n v="6391.12"/>
    <n v="19173.36"/>
    <x v="0"/>
    <s v="ID is present"/>
    <x v="7"/>
  </r>
  <r>
    <s v="ORD-0098"/>
    <s v="SP012"/>
    <x v="85"/>
    <x v="1"/>
    <s v="Electronics"/>
    <n v="3"/>
    <n v="603.38"/>
    <n v="0.2"/>
    <n v="1810.1399999999999"/>
    <n v="362.02800000000002"/>
    <n v="1448.1119999999999"/>
    <x v="1"/>
    <s v="ID is present"/>
    <x v="8"/>
  </r>
  <r>
    <s v="ORD-0099"/>
    <s v="SP011"/>
    <x v="52"/>
    <x v="5"/>
    <s v="Electronics"/>
    <n v="3"/>
    <n v="1645.93"/>
    <n v="0.25"/>
    <n v="4937.79"/>
    <n v="1234.4475"/>
    <n v="3703.3424999999997"/>
    <x v="0"/>
    <s v="ID is present"/>
    <x v="5"/>
  </r>
  <r>
    <s v="ORD-0100"/>
    <s v="SP004"/>
    <x v="86"/>
    <x v="6"/>
    <s v="Accessories"/>
    <n v="8"/>
    <n v="1622.8"/>
    <n v="0"/>
    <n v="12982.4"/>
    <n v="0"/>
    <n v="12982.4"/>
    <x v="1"/>
    <s v="ID is present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0001"/>
    <s v="SP011"/>
    <d v="2024-02-27T00:00:00"/>
    <s v="Laptop"/>
    <s v="Electronics"/>
    <n v="9"/>
    <n v="527.54"/>
    <n v="0"/>
    <n v="4747.8599999999997"/>
    <n v="0"/>
    <n v="4747.8599999999997"/>
    <x v="0"/>
    <s v="ID is present"/>
    <s v="Low"/>
    <x v="0"/>
  </r>
  <r>
    <s v="ORD-0002"/>
    <s v="SP012"/>
    <d v="2024-02-22T00:00:00"/>
    <s v="Tablet"/>
    <s v="Electronics"/>
    <n v="18"/>
    <n v="219.53"/>
    <n v="0.1"/>
    <n v="3951.54"/>
    <n v="395.154"/>
    <n v="3556.386"/>
    <x v="1"/>
    <s v="ID is present"/>
    <s v="Low"/>
    <x v="1"/>
  </r>
  <r>
    <s v="ORD-0003"/>
    <s v="SP001"/>
    <d v="2024-01-16T00:00:00"/>
    <s v="Monitor"/>
    <s v="Electronics"/>
    <n v="7"/>
    <n v="503.69"/>
    <n v="0.15"/>
    <n v="3525.83"/>
    <n v="528.87450000000001"/>
    <n v="2996.9555"/>
    <x v="2"/>
    <s v="ID is present"/>
    <s v="High"/>
    <x v="2"/>
  </r>
  <r>
    <s v="ORD-0004"/>
    <s v="SP001"/>
    <d v="2024-10-14T00:00:00"/>
    <s v="Mouse"/>
    <s v="Accessories"/>
    <n v="18"/>
    <n v="868.06"/>
    <n v="0.1"/>
    <n v="15625.079999999998"/>
    <n v="1562.5079999999998"/>
    <n v="14062.571999999998"/>
    <x v="2"/>
    <s v="ID is present"/>
    <s v="Low"/>
    <x v="2"/>
  </r>
  <r>
    <s v="ORD-0005"/>
    <s v="SP010"/>
    <d v="2024-05-22T00:00:00"/>
    <s v="Charger"/>
    <s v="Accessories"/>
    <n v="1"/>
    <n v="1529.67"/>
    <n v="0"/>
    <n v="1529.67"/>
    <n v="0"/>
    <n v="1529.67"/>
    <x v="3"/>
    <s v="ID is present"/>
    <s v="Low"/>
    <x v="3"/>
  </r>
  <r>
    <s v="ORD-0006"/>
    <s v="SP012"/>
    <d v="2024-08-04T00:00:00"/>
    <s v="Webcam"/>
    <s v="Electronics"/>
    <n v="9"/>
    <n v="353.19"/>
    <n v="0.25"/>
    <n v="3178.71"/>
    <n v="794.67750000000001"/>
    <n v="2384.0325000000003"/>
    <x v="1"/>
    <s v="ID is present"/>
    <s v="High"/>
    <x v="1"/>
  </r>
  <r>
    <s v="ORD-0007"/>
    <s v="SP006"/>
    <d v="2024-02-22T00:00:00"/>
    <s v="Monitor"/>
    <s v="Electronics"/>
    <n v="13"/>
    <n v="238.6"/>
    <n v="0.25"/>
    <n v="3101.7999999999997"/>
    <n v="775.44999999999993"/>
    <n v="2326.35"/>
    <x v="3"/>
    <s v="ID is present"/>
    <s v="High"/>
    <x v="4"/>
  </r>
  <r>
    <s v="ORD-0008"/>
    <s v="SP006"/>
    <d v="2024-11-05T00:00:00"/>
    <s v="Headset"/>
    <s v="Accessories"/>
    <n v="2"/>
    <n v="1472.98"/>
    <n v="0.15"/>
    <n v="2945.96"/>
    <n v="441.89400000000001"/>
    <n v="2504.0659999999998"/>
    <x v="3"/>
    <s v="ID is present"/>
    <s v="High"/>
    <x v="4"/>
  </r>
  <r>
    <s v="ORD-0009"/>
    <s v="SP002"/>
    <d v="2024-07-12T00:00:00"/>
    <s v="Monitor"/>
    <s v="Electronics"/>
    <n v="18"/>
    <n v="621.70000000000005"/>
    <n v="0.2"/>
    <n v="11190.6"/>
    <n v="2238.1200000000003"/>
    <n v="8952.48"/>
    <x v="3"/>
    <s v="ID is present"/>
    <s v="High"/>
    <x v="5"/>
  </r>
  <r>
    <s v="ORD-0010"/>
    <s v="SP010"/>
    <d v="2024-07-04T00:00:00"/>
    <s v="Scanner"/>
    <s v="Office"/>
    <n v="7"/>
    <n v="1423.92"/>
    <n v="0"/>
    <n v="9967.44"/>
    <n v="0"/>
    <n v="9967.44"/>
    <x v="3"/>
    <s v="ID is present"/>
    <s v="Low"/>
    <x v="3"/>
  </r>
  <r>
    <s v="ORD-0011"/>
    <s v="SP011"/>
    <d v="2024-04-26T00:00:00"/>
    <s v="Charger"/>
    <s v="Accessories"/>
    <n v="10"/>
    <n v="1971.18"/>
    <n v="0.25"/>
    <n v="19711.8"/>
    <n v="4927.95"/>
    <n v="14783.849999999999"/>
    <x v="0"/>
    <s v="ID is present"/>
    <s v="High"/>
    <x v="0"/>
  </r>
  <r>
    <s v="ORD-0012"/>
    <s v="SP004"/>
    <d v="2024-02-21T00:00:00"/>
    <s v="Desk Chair"/>
    <s v="Furniture"/>
    <n v="9"/>
    <n v="934.15"/>
    <n v="0.25"/>
    <n v="8407.35"/>
    <n v="2101.8375000000001"/>
    <n v="6305.5125000000007"/>
    <x v="1"/>
    <s v="ID is present"/>
    <s v="High"/>
    <x v="6"/>
  </r>
  <r>
    <s v="ORD-0013"/>
    <s v="SP006"/>
    <d v="2024-03-24T00:00:00"/>
    <s v="Webcam"/>
    <s v="Electronics"/>
    <n v="12"/>
    <n v="458.54"/>
    <n v="0.05"/>
    <n v="5502.4800000000005"/>
    <n v="275.12400000000002"/>
    <n v="5227.3560000000007"/>
    <x v="3"/>
    <s v="ID is present"/>
    <s v="Low"/>
    <x v="4"/>
  </r>
  <r>
    <s v="ORD-0014"/>
    <s v="SP012"/>
    <d v="2024-12-15T00:00:00"/>
    <s v="Tablet"/>
    <s v="Electronics"/>
    <n v="3"/>
    <n v="1237.81"/>
    <n v="0"/>
    <n v="3713.43"/>
    <n v="0"/>
    <n v="3713.43"/>
    <x v="1"/>
    <s v="ID is present"/>
    <s v="Low"/>
    <x v="1"/>
  </r>
  <r>
    <s v="ORD-0015"/>
    <s v="SP009"/>
    <d v="2024-05-05T00:00:00"/>
    <s v="Keyboard"/>
    <s v="Accessories"/>
    <n v="15"/>
    <n v="789.94"/>
    <n v="0.2"/>
    <n v="11849.1"/>
    <n v="2369.8200000000002"/>
    <n v="9479.2800000000007"/>
    <x v="2"/>
    <s v="ID is present"/>
    <s v="High"/>
    <x v="7"/>
  </r>
  <r>
    <s v="ORD-0016"/>
    <s v="SP012"/>
    <d v="2024-10-12T00:00:00"/>
    <s v="Mouse"/>
    <s v="Accessories"/>
    <n v="11"/>
    <n v="1693.56"/>
    <n v="0.25"/>
    <n v="18629.16"/>
    <n v="4657.29"/>
    <n v="13971.869999999999"/>
    <x v="1"/>
    <s v="ID is present"/>
    <s v="High"/>
    <x v="1"/>
  </r>
  <r>
    <s v="ORD-0017"/>
    <s v="SP001"/>
    <d v="2024-04-27T00:00:00"/>
    <s v="USB Hub"/>
    <s v="Accessories"/>
    <n v="2"/>
    <n v="1619.84"/>
    <n v="0.1"/>
    <n v="3239.68"/>
    <n v="323.96800000000002"/>
    <n v="2915.712"/>
    <x v="2"/>
    <s v="ID is present"/>
    <s v="Low"/>
    <x v="2"/>
  </r>
  <r>
    <s v="ORD-0018"/>
    <s v="SP005"/>
    <d v="2024-02-03T00:00:00"/>
    <s v="Mouse"/>
    <s v="Accessories"/>
    <n v="19"/>
    <n v="1758.92"/>
    <n v="0.05"/>
    <n v="33419.480000000003"/>
    <n v="1670.9740000000002"/>
    <n v="31748.506000000001"/>
    <x v="2"/>
    <s v="ID is present"/>
    <s v="Low"/>
    <x v="8"/>
  </r>
  <r>
    <s v="ORD-0019"/>
    <s v="SP004"/>
    <d v="2024-12-01T00:00:00"/>
    <s v="Standing Desk"/>
    <s v="Furniture"/>
    <n v="13"/>
    <n v="1775.13"/>
    <n v="0.2"/>
    <n v="23076.690000000002"/>
    <n v="4615.3380000000006"/>
    <n v="18461.352000000003"/>
    <x v="1"/>
    <s v="ID is present"/>
    <s v="High"/>
    <x v="6"/>
  </r>
  <r>
    <s v="ORD-0020"/>
    <s v="SP008"/>
    <d v="2024-03-14T00:00:00"/>
    <s v="Headset"/>
    <s v="Accessories"/>
    <n v="5"/>
    <n v="530.91999999999996"/>
    <n v="0.15"/>
    <n v="2654.6"/>
    <n v="398.19"/>
    <n v="2256.41"/>
    <x v="1"/>
    <s v="ID is present"/>
    <s v="High"/>
    <x v="9"/>
  </r>
  <r>
    <s v="ORD-0021"/>
    <s v="SP009"/>
    <d v="2024-05-14T00:00:00"/>
    <s v="Smartphone"/>
    <s v="Electronics"/>
    <n v="19"/>
    <n v="885.45"/>
    <n v="0.15"/>
    <n v="16823.55"/>
    <n v="2523.5324999999998"/>
    <n v="14300.0175"/>
    <x v="2"/>
    <s v="ID is present"/>
    <s v="High"/>
    <x v="7"/>
  </r>
  <r>
    <s v="ORD-0022"/>
    <s v="SP007"/>
    <d v="2024-07-04T00:00:00"/>
    <s v="Mouse"/>
    <s v="Accessories"/>
    <n v="5"/>
    <n v="1043.58"/>
    <n v="0"/>
    <n v="5217.8999999999996"/>
    <n v="0"/>
    <n v="5217.8999999999996"/>
    <x v="0"/>
    <s v="ID is present"/>
    <s v="Low"/>
    <x v="10"/>
  </r>
  <r>
    <s v="ORD-0023"/>
    <s v="SP013"/>
    <d v="2024-01-25T00:00:00"/>
    <s v="USB Hub"/>
    <s v="Accessories"/>
    <n v="4"/>
    <n v="348.04"/>
    <n v="0"/>
    <n v="1392.16"/>
    <n v="0"/>
    <n v="1392.16"/>
    <x v="2"/>
    <s v="ID is present"/>
    <s v="Low"/>
    <x v="11"/>
  </r>
  <r>
    <s v="ORD-0024"/>
    <s v="SP013"/>
    <d v="2024-12-14T00:00:00"/>
    <s v="Desk Chair"/>
    <s v="Furniture"/>
    <n v="20"/>
    <n v="173.88"/>
    <n v="0.1"/>
    <n v="3477.6"/>
    <n v="347.76"/>
    <n v="3129.84"/>
    <x v="2"/>
    <s v="ID is present"/>
    <s v="Low"/>
    <x v="11"/>
  </r>
  <r>
    <s v="ORD-0025"/>
    <s v="SP010"/>
    <d v="2024-08-27T00:00:00"/>
    <s v="Printer"/>
    <s v="Office"/>
    <n v="9"/>
    <n v="1943.6"/>
    <n v="0.25"/>
    <n v="17492.399999999998"/>
    <n v="4373.0999999999995"/>
    <n v="13119.3"/>
    <x v="3"/>
    <s v="ID is present"/>
    <s v="High"/>
    <x v="3"/>
  </r>
  <r>
    <s v="ORD-0026"/>
    <s v="SP001"/>
    <d v="2024-12-14T00:00:00"/>
    <s v="Smartphone"/>
    <s v="Electronics"/>
    <n v="4"/>
    <n v="1379.34"/>
    <n v="0.15"/>
    <n v="5517.36"/>
    <n v="827.60399999999993"/>
    <n v="4689.7559999999994"/>
    <x v="2"/>
    <s v="ID is present"/>
    <s v="High"/>
    <x v="2"/>
  </r>
  <r>
    <s v="ORD-0027"/>
    <s v="SP013"/>
    <d v="2024-05-16T00:00:00"/>
    <s v="Charger"/>
    <s v="Accessories"/>
    <n v="11"/>
    <n v="267.52999999999997"/>
    <n v="0.1"/>
    <n v="2942.83"/>
    <n v="294.28300000000002"/>
    <n v="2648.547"/>
    <x v="2"/>
    <s v="ID is present"/>
    <s v="Low"/>
    <x v="11"/>
  </r>
  <r>
    <s v="ORD-0028"/>
    <s v="SP003"/>
    <d v="2024-08-20T00:00:00"/>
    <s v="Laptop"/>
    <s v="Electronics"/>
    <n v="9"/>
    <n v="1945.18"/>
    <n v="0.25"/>
    <n v="17506.62"/>
    <n v="4376.6549999999997"/>
    <n v="13129.965"/>
    <x v="0"/>
    <s v="ID is present"/>
    <s v="High"/>
    <x v="12"/>
  </r>
  <r>
    <s v="ORD-0029"/>
    <s v="SP003"/>
    <d v="2024-09-16T00:00:00"/>
    <s v="Router"/>
    <s v="Networking"/>
    <n v="4"/>
    <n v="1747.51"/>
    <n v="0.05"/>
    <n v="6990.04"/>
    <n v="349.50200000000001"/>
    <n v="6640.5379999999996"/>
    <x v="0"/>
    <s v="ID is present"/>
    <s v="Low"/>
    <x v="12"/>
  </r>
  <r>
    <s v="ORD-0030"/>
    <s v="SP014"/>
    <d v="2024-11-23T00:00:00"/>
    <s v="Printer"/>
    <s v="Office"/>
    <n v="20"/>
    <n v="437.88"/>
    <n v="0.05"/>
    <n v="8757.6"/>
    <n v="437.88000000000005"/>
    <n v="8319.7200000000012"/>
    <x v="3"/>
    <s v="ID is present"/>
    <s v="Low"/>
    <x v="13"/>
  </r>
  <r>
    <s v="ORD-0031"/>
    <s v="SP013"/>
    <d v="2024-03-23T00:00:00"/>
    <s v="Printer"/>
    <s v="Office"/>
    <n v="17"/>
    <n v="1841.06"/>
    <n v="0.15"/>
    <n v="31298.02"/>
    <n v="4694.7029999999995"/>
    <n v="26603.317000000003"/>
    <x v="2"/>
    <s v="ID is present"/>
    <s v="High"/>
    <x v="11"/>
  </r>
  <r>
    <s v="ORD-0032"/>
    <s v="SP006"/>
    <d v="2024-09-07T00:00:00"/>
    <s v="Laptop"/>
    <s v="Electronics"/>
    <n v="4"/>
    <n v="1861.74"/>
    <n v="0.25"/>
    <n v="7446.96"/>
    <n v="1861.74"/>
    <n v="5585.22"/>
    <x v="3"/>
    <s v="ID is present"/>
    <s v="High"/>
    <x v="4"/>
  </r>
  <r>
    <s v="ORD-0033"/>
    <s v="SP013"/>
    <d v="2024-06-06T00:00:00"/>
    <s v="Mouse"/>
    <s v="Accessories"/>
    <n v="2"/>
    <n v="519.70000000000005"/>
    <n v="0.15"/>
    <n v="1039.4000000000001"/>
    <n v="155.91"/>
    <n v="883.49000000000012"/>
    <x v="2"/>
    <s v="ID is present"/>
    <s v="High"/>
    <x v="11"/>
  </r>
  <r>
    <s v="ORD-0034"/>
    <s v="SP002"/>
    <d v="2024-02-13T00:00:00"/>
    <s v="Smartphone"/>
    <s v="Electronics"/>
    <n v="16"/>
    <n v="1641.25"/>
    <n v="0.25"/>
    <n v="26260"/>
    <n v="6565"/>
    <n v="19695"/>
    <x v="3"/>
    <s v="ID is present"/>
    <s v="High"/>
    <x v="5"/>
  </r>
  <r>
    <s v="ORD-0035"/>
    <s v="SP009"/>
    <d v="2024-03-05T00:00:00"/>
    <s v="Keyboard"/>
    <s v="Accessories"/>
    <n v="16"/>
    <n v="1896.35"/>
    <n v="0"/>
    <n v="30341.599999999999"/>
    <n v="0"/>
    <n v="30341.599999999999"/>
    <x v="2"/>
    <s v="ID is present"/>
    <s v="Low"/>
    <x v="7"/>
  </r>
  <r>
    <s v="ORD-0036"/>
    <s v="SP005"/>
    <d v="2024-09-27T00:00:00"/>
    <s v="USB Hub"/>
    <s v="Accessories"/>
    <n v="20"/>
    <n v="875.12"/>
    <n v="0"/>
    <n v="17502.400000000001"/>
    <n v="0"/>
    <n v="17502.400000000001"/>
    <x v="2"/>
    <s v="ID is present"/>
    <s v="Low"/>
    <x v="8"/>
  </r>
  <r>
    <s v="ORD-0037"/>
    <s v="SP015"/>
    <d v="2024-10-03T00:00:00"/>
    <s v="Charger"/>
    <s v="Accessories"/>
    <n v="7"/>
    <n v="1440.25"/>
    <n v="0.1"/>
    <n v="10081.75"/>
    <n v="1008.1750000000001"/>
    <n v="9073.5750000000007"/>
    <x v="0"/>
    <s v="ID is present"/>
    <s v="Low"/>
    <x v="14"/>
  </r>
  <r>
    <s v="ORD-0038"/>
    <s v="SP011"/>
    <d v="2024-11-28T00:00:00"/>
    <s v="Webcam"/>
    <s v="Electronics"/>
    <n v="15"/>
    <n v="1804.25"/>
    <n v="0.1"/>
    <n v="27063.75"/>
    <n v="2706.375"/>
    <n v="24357.375"/>
    <x v="0"/>
    <s v="ID is present"/>
    <s v="Low"/>
    <x v="0"/>
  </r>
  <r>
    <s v="ORD-0039"/>
    <s v="SP002"/>
    <d v="2024-05-06T00:00:00"/>
    <s v="Mouse"/>
    <s v="Accessories"/>
    <n v="3"/>
    <n v="709.27"/>
    <n v="0.15"/>
    <n v="2127.81"/>
    <n v="319.17149999999998"/>
    <n v="1808.6385"/>
    <x v="3"/>
    <s v="ID is present"/>
    <s v="High"/>
    <x v="5"/>
  </r>
  <r>
    <s v="ORD-0040"/>
    <s v="SP009"/>
    <d v="2024-04-27T00:00:00"/>
    <s v="Scanner"/>
    <s v="Office"/>
    <n v="8"/>
    <n v="64.02"/>
    <n v="0.2"/>
    <n v="512.16"/>
    <n v="102.432"/>
    <n v="409.72799999999995"/>
    <x v="2"/>
    <s v="ID is present"/>
    <s v="High"/>
    <x v="7"/>
  </r>
  <r>
    <s v="ORD-0041"/>
    <s v="SP011"/>
    <d v="2024-01-31T00:00:00"/>
    <s v="Mouse"/>
    <s v="Accessories"/>
    <n v="3"/>
    <n v="1815.57"/>
    <n v="0.25"/>
    <n v="5446.71"/>
    <n v="1361.6775"/>
    <n v="4085.0325000000003"/>
    <x v="0"/>
    <s v="ID is present"/>
    <s v="High"/>
    <x v="0"/>
  </r>
  <r>
    <s v="ORD-0042"/>
    <s v="SP006"/>
    <d v="2024-02-06T00:00:00"/>
    <s v="Printer"/>
    <s v="Office"/>
    <n v="8"/>
    <n v="593.03"/>
    <n v="0.1"/>
    <n v="4744.24"/>
    <n v="474.42399999999998"/>
    <n v="4269.8159999999998"/>
    <x v="3"/>
    <s v="ID is present"/>
    <s v="Low"/>
    <x v="4"/>
  </r>
  <r>
    <s v="ORD-0043"/>
    <s v="SP004"/>
    <d v="2024-10-03T00:00:00"/>
    <s v="Keyboard"/>
    <s v="Accessories"/>
    <n v="19"/>
    <n v="1173.6099999999999"/>
    <n v="0"/>
    <n v="22298.589999999997"/>
    <n v="0"/>
    <n v="22298.589999999997"/>
    <x v="1"/>
    <s v="ID is present"/>
    <s v="Low"/>
    <x v="6"/>
  </r>
  <r>
    <s v="ORD-0044"/>
    <s v="SP013"/>
    <d v="2024-08-30T00:00:00"/>
    <s v="Charger"/>
    <s v="Accessories"/>
    <n v="14"/>
    <n v="421.3"/>
    <n v="0"/>
    <n v="5898.2"/>
    <n v="0"/>
    <n v="5898.2"/>
    <x v="2"/>
    <s v="ID is present"/>
    <s v="Low"/>
    <x v="11"/>
  </r>
  <r>
    <s v="ORD-0045"/>
    <s v="SP011"/>
    <d v="2024-08-08T00:00:00"/>
    <s v="Webcam"/>
    <s v="Electronics"/>
    <n v="14"/>
    <n v="851.65"/>
    <n v="0.25"/>
    <n v="11923.1"/>
    <n v="2980.7750000000001"/>
    <n v="8942.3250000000007"/>
    <x v="0"/>
    <s v="ID is present"/>
    <s v="High"/>
    <x v="0"/>
  </r>
  <r>
    <s v="ORD-0046"/>
    <s v="SP012"/>
    <d v="2024-01-28T00:00:00"/>
    <s v="Tablet"/>
    <s v="Electronics"/>
    <n v="4"/>
    <n v="168.19"/>
    <n v="0.2"/>
    <n v="672.76"/>
    <n v="134.55199999999999"/>
    <n v="538.20799999999997"/>
    <x v="1"/>
    <s v="ID is present"/>
    <s v="High"/>
    <x v="1"/>
  </r>
  <r>
    <s v="ORD-0047"/>
    <s v="SP006"/>
    <d v="2024-02-25T00:00:00"/>
    <s v="Mouse"/>
    <s v="Accessories"/>
    <n v="7"/>
    <n v="420.91"/>
    <n v="0.1"/>
    <n v="2946.3700000000003"/>
    <n v="294.63700000000006"/>
    <n v="2651.7330000000002"/>
    <x v="3"/>
    <s v="ID is present"/>
    <s v="Low"/>
    <x v="4"/>
  </r>
  <r>
    <s v="ORD-0048"/>
    <s v="SP003"/>
    <d v="2024-08-04T00:00:00"/>
    <s v="Keyboard"/>
    <s v="Accessories"/>
    <n v="9"/>
    <n v="952.12"/>
    <n v="0.25"/>
    <n v="8569.08"/>
    <n v="2142.27"/>
    <n v="6426.8099999999995"/>
    <x v="0"/>
    <s v="ID is present"/>
    <s v="High"/>
    <x v="12"/>
  </r>
  <r>
    <s v="ORD-0049"/>
    <s v="SP015"/>
    <d v="2024-02-08T00:00:00"/>
    <s v="Standing Desk"/>
    <s v="Furniture"/>
    <n v="18"/>
    <n v="240.92"/>
    <n v="0.2"/>
    <n v="4336.5599999999995"/>
    <n v="867.3119999999999"/>
    <n v="3469.2479999999996"/>
    <x v="0"/>
    <s v="ID is present"/>
    <s v="High"/>
    <x v="14"/>
  </r>
  <r>
    <s v="ORD-0050"/>
    <s v="SP009"/>
    <d v="2024-01-08T00:00:00"/>
    <s v="Monitor"/>
    <s v="Electronics"/>
    <n v="8"/>
    <n v="374.31"/>
    <n v="0.1"/>
    <n v="2994.48"/>
    <n v="299.44800000000004"/>
    <n v="2695.0320000000002"/>
    <x v="2"/>
    <s v="ID is present"/>
    <s v="Low"/>
    <x v="7"/>
  </r>
  <r>
    <s v="ORD-0051"/>
    <s v="SP008"/>
    <d v="2024-04-19T00:00:00"/>
    <s v="USB Hub"/>
    <s v="Accessories"/>
    <n v="13"/>
    <n v="1809.76"/>
    <n v="0"/>
    <n v="23526.880000000001"/>
    <n v="0"/>
    <n v="23526.880000000001"/>
    <x v="1"/>
    <s v="ID is present"/>
    <s v="Low"/>
    <x v="9"/>
  </r>
  <r>
    <s v="ORD-0052"/>
    <s v="SP007"/>
    <d v="2024-01-02T00:00:00"/>
    <s v="Desk Chair"/>
    <s v="Furniture"/>
    <n v="9"/>
    <n v="1856.71"/>
    <n v="0.25"/>
    <n v="16710.39"/>
    <n v="4177.5974999999999"/>
    <n v="12532.7925"/>
    <x v="0"/>
    <s v="ID is present"/>
    <s v="High"/>
    <x v="10"/>
  </r>
  <r>
    <s v="ORD-0053"/>
    <s v="SP008"/>
    <d v="2024-05-26T00:00:00"/>
    <s v="Desk Chair"/>
    <s v="Furniture"/>
    <n v="18"/>
    <n v="1340.65"/>
    <n v="0.1"/>
    <n v="24131.7"/>
    <n v="2413.17"/>
    <n v="21718.53"/>
    <x v="1"/>
    <s v="ID is present"/>
    <s v="Low"/>
    <x v="9"/>
  </r>
  <r>
    <s v="ORD-0054"/>
    <s v="SP003"/>
    <d v="2024-04-07T00:00:00"/>
    <s v="Headset"/>
    <s v="Accessories"/>
    <n v="7"/>
    <n v="1938.98"/>
    <n v="0.15"/>
    <n v="13572.86"/>
    <n v="2035.9290000000001"/>
    <n v="11536.931"/>
    <x v="0"/>
    <s v="ID is present"/>
    <s v="High"/>
    <x v="12"/>
  </r>
  <r>
    <s v="ORD-0055"/>
    <s v="SP012"/>
    <d v="2024-10-04T00:00:00"/>
    <s v="Laptop"/>
    <s v="Electronics"/>
    <n v="11"/>
    <n v="161.47"/>
    <n v="0.15"/>
    <n v="1776.17"/>
    <n v="266.4255"/>
    <n v="1509.7445"/>
    <x v="1"/>
    <s v="ID is present"/>
    <s v="High"/>
    <x v="1"/>
  </r>
  <r>
    <s v="ORD-0056"/>
    <s v="SP008"/>
    <d v="2024-09-14T00:00:00"/>
    <s v="Router"/>
    <s v="Networking"/>
    <n v="17"/>
    <n v="356.99"/>
    <n v="0.15"/>
    <n v="6068.83"/>
    <n v="910.32449999999994"/>
    <n v="5158.5055000000002"/>
    <x v="1"/>
    <s v="ID is present"/>
    <s v="High"/>
    <x v="9"/>
  </r>
  <r>
    <s v="ORD-0057"/>
    <s v="SP002"/>
    <d v="2024-04-05T00:00:00"/>
    <s v="Monitor"/>
    <s v="Electronics"/>
    <n v="20"/>
    <n v="182.52"/>
    <n v="0.25"/>
    <n v="3650.4"/>
    <n v="912.6"/>
    <n v="2737.8"/>
    <x v="3"/>
    <s v="ID is present"/>
    <s v="High"/>
    <x v="5"/>
  </r>
  <r>
    <s v="ORD-0058"/>
    <s v="SP004"/>
    <d v="2024-07-25T00:00:00"/>
    <s v="Monitor"/>
    <s v="Electronics"/>
    <n v="19"/>
    <n v="530.12"/>
    <n v="0.15"/>
    <n v="10072.280000000001"/>
    <n v="1510.8420000000001"/>
    <n v="8561.4380000000001"/>
    <x v="1"/>
    <s v="ID is present"/>
    <s v="High"/>
    <x v="6"/>
  </r>
  <r>
    <s v="ORD-0059"/>
    <s v="SP001"/>
    <d v="2024-11-13T00:00:00"/>
    <s v="Monitor"/>
    <s v="Electronics"/>
    <n v="14"/>
    <n v="1331.88"/>
    <n v="0.15"/>
    <n v="18646.32"/>
    <n v="2796.9479999999999"/>
    <n v="15849.371999999999"/>
    <x v="2"/>
    <s v="ID is present"/>
    <s v="High"/>
    <x v="2"/>
  </r>
  <r>
    <s v="ORD-0060"/>
    <s v="SP009"/>
    <d v="2024-06-10T00:00:00"/>
    <s v="Router"/>
    <s v="Networking"/>
    <n v="9"/>
    <n v="448.31"/>
    <n v="0.2"/>
    <n v="4034.79"/>
    <n v="806.95800000000008"/>
    <n v="3227.8319999999999"/>
    <x v="2"/>
    <s v="ID is present"/>
    <s v="High"/>
    <x v="7"/>
  </r>
  <r>
    <s v="ORD-0061"/>
    <s v="SP006"/>
    <d v="2024-05-02T00:00:00"/>
    <s v="Headset"/>
    <s v="Accessories"/>
    <n v="13"/>
    <n v="305.20999999999998"/>
    <n v="0.2"/>
    <n v="3967.7299999999996"/>
    <n v="793.54599999999994"/>
    <n v="3174.1839999999997"/>
    <x v="3"/>
    <s v="ID is present"/>
    <s v="High"/>
    <x v="4"/>
  </r>
  <r>
    <s v="ORD-0062"/>
    <s v="SP005"/>
    <d v="2024-08-22T00:00:00"/>
    <s v="Webcam"/>
    <s v="Electronics"/>
    <n v="3"/>
    <n v="68.17"/>
    <n v="0.15"/>
    <n v="204.51"/>
    <n v="30.676499999999997"/>
    <n v="173.83349999999999"/>
    <x v="2"/>
    <s v="ID is present"/>
    <s v="High"/>
    <x v="8"/>
  </r>
  <r>
    <s v="ORD-0063"/>
    <s v="SP010"/>
    <d v="2024-02-21T00:00:00"/>
    <s v="Monitor"/>
    <s v="Electronics"/>
    <n v="18"/>
    <n v="465.65"/>
    <n v="0.05"/>
    <n v="8381.6999999999989"/>
    <n v="419.08499999999998"/>
    <n v="7962.6149999999989"/>
    <x v="3"/>
    <s v="ID is present"/>
    <s v="Low"/>
    <x v="3"/>
  </r>
  <r>
    <s v="ORD-0064"/>
    <s v="SP003"/>
    <d v="2024-06-27T00:00:00"/>
    <s v="Router"/>
    <s v="Networking"/>
    <n v="3"/>
    <n v="1764.58"/>
    <n v="0.05"/>
    <n v="5293.74"/>
    <n v="264.68700000000001"/>
    <n v="5029.0529999999999"/>
    <x v="0"/>
    <s v="ID is present"/>
    <s v="Low"/>
    <x v="12"/>
  </r>
  <r>
    <s v="ORD-0065"/>
    <s v="SP005"/>
    <d v="2024-03-21T00:00:00"/>
    <s v="Standing Desk"/>
    <s v="Furniture"/>
    <n v="18"/>
    <n v="1421.9"/>
    <n v="0.15"/>
    <n v="25594.2"/>
    <n v="3839.13"/>
    <n v="21755.07"/>
    <x v="2"/>
    <s v="ID is present"/>
    <s v="High"/>
    <x v="8"/>
  </r>
  <r>
    <s v="ORD-0066"/>
    <s v="SP013"/>
    <d v="2024-11-30T00:00:00"/>
    <s v="Printer"/>
    <s v="Office"/>
    <n v="1"/>
    <n v="1352.33"/>
    <n v="0.15"/>
    <n v="1352.33"/>
    <n v="202.84949999999998"/>
    <n v="1149.4804999999999"/>
    <x v="2"/>
    <s v="ID is present"/>
    <s v="High"/>
    <x v="11"/>
  </r>
  <r>
    <s v="ORD-0067"/>
    <s v="SP005"/>
    <d v="2024-12-05T00:00:00"/>
    <s v="Monitor"/>
    <s v="Electronics"/>
    <n v="5"/>
    <n v="565.71"/>
    <n v="0"/>
    <n v="2828.55"/>
    <n v="0"/>
    <n v="2828.55"/>
    <x v="2"/>
    <s v="ID is present"/>
    <s v="Low"/>
    <x v="8"/>
  </r>
  <r>
    <s v="ORD-0068"/>
    <s v="SP012"/>
    <d v="2024-10-10T00:00:00"/>
    <s v="Keyboard"/>
    <s v="Accessories"/>
    <n v="9"/>
    <n v="599.41999999999996"/>
    <n v="0"/>
    <n v="5394.78"/>
    <n v="0"/>
    <n v="5394.78"/>
    <x v="1"/>
    <s v="ID is present"/>
    <s v="Low"/>
    <x v="1"/>
  </r>
  <r>
    <s v="ORD-0069"/>
    <s v="SP012"/>
    <d v="2024-06-24T00:00:00"/>
    <s v="Mouse"/>
    <s v="Accessories"/>
    <n v="9"/>
    <n v="1035.55"/>
    <n v="0.05"/>
    <n v="9319.9499999999989"/>
    <n v="465.99749999999995"/>
    <n v="8853.9524999999994"/>
    <x v="1"/>
    <s v="ID is present"/>
    <s v="Low"/>
    <x v="1"/>
  </r>
  <r>
    <s v="ORD-0070"/>
    <s v="SP015"/>
    <d v="2024-01-27T00:00:00"/>
    <s v="Monitor"/>
    <s v="Electronics"/>
    <n v="14"/>
    <n v="1667.23"/>
    <n v="0"/>
    <n v="23341.22"/>
    <n v="0"/>
    <n v="23341.22"/>
    <x v="0"/>
    <s v="ID is present"/>
    <s v="Low"/>
    <x v="14"/>
  </r>
  <r>
    <s v="ORD-0071"/>
    <s v="SP001"/>
    <d v="2024-06-19T00:00:00"/>
    <s v="Charger"/>
    <s v="Accessories"/>
    <n v="5"/>
    <n v="1292.3699999999999"/>
    <n v="0.05"/>
    <n v="6461.8499999999995"/>
    <n v="323.09249999999997"/>
    <n v="6138.7574999999997"/>
    <x v="2"/>
    <s v="ID is present"/>
    <s v="Low"/>
    <x v="2"/>
  </r>
  <r>
    <s v="ORD-0072"/>
    <s v="SP003"/>
    <d v="2024-08-14T00:00:00"/>
    <s v="Printer"/>
    <s v="Office"/>
    <n v="14"/>
    <n v="1143.77"/>
    <n v="0"/>
    <n v="16012.779999999999"/>
    <n v="0"/>
    <n v="16012.779999999999"/>
    <x v="0"/>
    <s v="ID is present"/>
    <s v="Low"/>
    <x v="12"/>
  </r>
  <r>
    <s v="ORD-0073"/>
    <s v="SP002"/>
    <d v="2024-12-19T00:00:00"/>
    <s v="Router"/>
    <s v="Networking"/>
    <n v="5"/>
    <n v="1113.9000000000001"/>
    <n v="0.25"/>
    <n v="5569.5"/>
    <n v="1392.375"/>
    <n v="4177.125"/>
    <x v="3"/>
    <s v="ID is present"/>
    <s v="High"/>
    <x v="5"/>
  </r>
  <r>
    <s v="ORD-0074"/>
    <s v="SP006"/>
    <d v="2024-10-25T00:00:00"/>
    <s v="Printer"/>
    <s v="Office"/>
    <n v="5"/>
    <n v="888.08"/>
    <n v="0"/>
    <n v="4440.4000000000005"/>
    <n v="0"/>
    <n v="4440.4000000000005"/>
    <x v="3"/>
    <s v="ID is present"/>
    <s v="Low"/>
    <x v="4"/>
  </r>
  <r>
    <s v="ORD-0075"/>
    <s v="SP005"/>
    <d v="2024-07-05T00:00:00"/>
    <s v="Router"/>
    <s v="Networking"/>
    <n v="2"/>
    <n v="1802.9"/>
    <n v="0"/>
    <n v="3605.8"/>
    <n v="0"/>
    <n v="3605.8"/>
    <x v="2"/>
    <s v="ID is present"/>
    <s v="Low"/>
    <x v="8"/>
  </r>
  <r>
    <s v="ORD-0076"/>
    <s v="SP011"/>
    <d v="2024-05-07T00:00:00"/>
    <s v="Tablet"/>
    <s v="Electronics"/>
    <n v="4"/>
    <n v="739.67"/>
    <n v="0.15"/>
    <n v="2958.68"/>
    <n v="443.80199999999996"/>
    <n v="2514.8779999999997"/>
    <x v="0"/>
    <s v="ID is present"/>
    <s v="High"/>
    <x v="0"/>
  </r>
  <r>
    <s v="ORD-0077"/>
    <s v="SP015"/>
    <d v="2024-07-27T00:00:00"/>
    <s v="Scanner"/>
    <s v="Office"/>
    <n v="5"/>
    <n v="1855.24"/>
    <n v="0"/>
    <n v="9276.2000000000007"/>
    <n v="0"/>
    <n v="9276.2000000000007"/>
    <x v="0"/>
    <s v="ID is present"/>
    <s v="Low"/>
    <x v="14"/>
  </r>
  <r>
    <s v="ORD-0078"/>
    <s v="SP014"/>
    <d v="2024-03-24T00:00:00"/>
    <s v="Charger"/>
    <s v="Accessories"/>
    <n v="6"/>
    <n v="1768.76"/>
    <n v="0"/>
    <n v="10612.56"/>
    <n v="0"/>
    <n v="10612.56"/>
    <x v="3"/>
    <s v="ID is present"/>
    <s v="Low"/>
    <x v="13"/>
  </r>
  <r>
    <s v="ORD-0079"/>
    <s v="SP003"/>
    <d v="2024-06-19T00:00:00"/>
    <s v="Charger"/>
    <s v="Accessories"/>
    <n v="14"/>
    <n v="1614.36"/>
    <n v="0.25"/>
    <n v="22601.039999999997"/>
    <n v="5650.2599999999993"/>
    <n v="16950.78"/>
    <x v="0"/>
    <s v="ID is present"/>
    <s v="High"/>
    <x v="12"/>
  </r>
  <r>
    <s v="ORD-0080"/>
    <s v="SP012"/>
    <d v="2024-05-07T00:00:00"/>
    <s v="Headset"/>
    <s v="Accessories"/>
    <n v="6"/>
    <n v="1585.38"/>
    <n v="0"/>
    <n v="9512.2800000000007"/>
    <n v="0"/>
    <n v="9512.2800000000007"/>
    <x v="1"/>
    <s v="ID is present"/>
    <s v="Low"/>
    <x v="1"/>
  </r>
  <r>
    <s v="ORD-0081"/>
    <s v="SP007"/>
    <d v="2024-01-20T00:00:00"/>
    <s v="USB Hub"/>
    <s v="Accessories"/>
    <n v="16"/>
    <n v="483.75"/>
    <n v="0.25"/>
    <n v="7740"/>
    <n v="1935"/>
    <n v="5805"/>
    <x v="0"/>
    <s v="ID is present"/>
    <s v="High"/>
    <x v="10"/>
  </r>
  <r>
    <s v="ORD-0082"/>
    <s v="SP015"/>
    <d v="2024-08-23T00:00:00"/>
    <s v="Webcam"/>
    <s v="Electronics"/>
    <n v="10"/>
    <n v="1650.05"/>
    <n v="0.25"/>
    <n v="16500.5"/>
    <n v="4125.125"/>
    <n v="12375.375"/>
    <x v="0"/>
    <s v="ID is present"/>
    <s v="High"/>
    <x v="14"/>
  </r>
  <r>
    <s v="ORD-0083"/>
    <s v="SP004"/>
    <d v="2024-04-24T00:00:00"/>
    <s v="Laptop"/>
    <s v="Electronics"/>
    <n v="7"/>
    <n v="827.01"/>
    <n v="0.05"/>
    <n v="5789.07"/>
    <n v="289.45350000000002"/>
    <n v="5499.6165000000001"/>
    <x v="1"/>
    <s v="ID is present"/>
    <s v="Low"/>
    <x v="6"/>
  </r>
  <r>
    <s v="ORD-0084"/>
    <s v="SP014"/>
    <d v="2024-02-05T00:00:00"/>
    <s v="Charger"/>
    <s v="Accessories"/>
    <n v="9"/>
    <n v="734.73"/>
    <n v="0.15"/>
    <n v="6612.57"/>
    <n v="991.88549999999987"/>
    <n v="5620.6844999999994"/>
    <x v="3"/>
    <s v="ID is present"/>
    <s v="High"/>
    <x v="13"/>
  </r>
  <r>
    <s v="ORD-0085"/>
    <s v="SP007"/>
    <d v="2024-12-13T00:00:00"/>
    <s v="USB Hub"/>
    <s v="Accessories"/>
    <n v="18"/>
    <n v="695.74"/>
    <n v="0"/>
    <n v="12523.32"/>
    <n v="0"/>
    <n v="12523.32"/>
    <x v="0"/>
    <s v="ID is present"/>
    <s v="Low"/>
    <x v="10"/>
  </r>
  <r>
    <s v="ORD-0086"/>
    <s v="SP002"/>
    <d v="2024-05-13T00:00:00"/>
    <s v="Keyboard"/>
    <s v="Accessories"/>
    <n v="19"/>
    <n v="1926.94"/>
    <n v="0.05"/>
    <n v="36611.86"/>
    <n v="1830.5930000000001"/>
    <n v="34781.267"/>
    <x v="3"/>
    <s v="ID is present"/>
    <s v="Low"/>
    <x v="5"/>
  </r>
  <r>
    <s v="ORD-0087"/>
    <s v="SP001"/>
    <d v="2024-02-25T00:00:00"/>
    <s v="Scanner"/>
    <s v="Office"/>
    <n v="14"/>
    <n v="724.09"/>
    <n v="0.25"/>
    <n v="10137.26"/>
    <n v="2534.3150000000001"/>
    <n v="7602.9449999999997"/>
    <x v="2"/>
    <s v="ID is present"/>
    <s v="High"/>
    <x v="2"/>
  </r>
  <r>
    <s v="ORD-0088"/>
    <s v="SP006"/>
    <d v="2024-08-11T00:00:00"/>
    <s v="Scanner"/>
    <s v="Office"/>
    <n v="17"/>
    <n v="275.51"/>
    <n v="0.15"/>
    <n v="4683.67"/>
    <n v="702.55049999999994"/>
    <n v="3981.1195000000002"/>
    <x v="3"/>
    <s v="ID is present"/>
    <s v="High"/>
    <x v="4"/>
  </r>
  <r>
    <s v="ORD-0089"/>
    <s v="SP004"/>
    <d v="2024-05-10T00:00:00"/>
    <s v="Laptop"/>
    <s v="Electronics"/>
    <n v="14"/>
    <n v="53.3"/>
    <n v="0.25"/>
    <n v="746.19999999999993"/>
    <n v="186.54999999999998"/>
    <n v="559.65"/>
    <x v="1"/>
    <s v="ID is present"/>
    <s v="High"/>
    <x v="6"/>
  </r>
  <r>
    <s v="ORD-0090"/>
    <s v="SP009"/>
    <d v="2024-12-17T00:00:00"/>
    <s v="Smartphone"/>
    <s v="Electronics"/>
    <n v="7"/>
    <n v="760.23"/>
    <n v="0"/>
    <n v="5321.6100000000006"/>
    <n v="0"/>
    <n v="5321.6100000000006"/>
    <x v="2"/>
    <s v="ID is present"/>
    <s v="Low"/>
    <x v="7"/>
  </r>
  <r>
    <s v="ORD-0091"/>
    <s v="SP011"/>
    <d v="2024-06-18T00:00:00"/>
    <s v="Scanner"/>
    <s v="Office"/>
    <n v="11"/>
    <n v="1343.61"/>
    <n v="0"/>
    <n v="14779.71"/>
    <n v="0"/>
    <n v="14779.71"/>
    <x v="0"/>
    <s v="ID is present"/>
    <s v="Low"/>
    <x v="0"/>
  </r>
  <r>
    <s v="ORD-0092"/>
    <s v="SP012"/>
    <d v="2024-06-02T00:00:00"/>
    <s v="Printer"/>
    <s v="Office"/>
    <n v="10"/>
    <n v="1350.44"/>
    <n v="0.05"/>
    <n v="13504.400000000001"/>
    <n v="675.22000000000014"/>
    <n v="12829.180000000002"/>
    <x v="1"/>
    <s v="ID is present"/>
    <s v="Low"/>
    <x v="1"/>
  </r>
  <r>
    <s v="ORD-0093"/>
    <s v="SP007"/>
    <d v="2024-12-22T00:00:00"/>
    <s v="Headset"/>
    <s v="Accessories"/>
    <n v="18"/>
    <n v="298.20999999999998"/>
    <n v="0.1"/>
    <n v="5367.78"/>
    <n v="536.77800000000002"/>
    <n v="4831.0019999999995"/>
    <x v="0"/>
    <s v="ID is present"/>
    <s v="Low"/>
    <x v="10"/>
  </r>
  <r>
    <s v="ORD-0094"/>
    <s v="SP011"/>
    <d v="2024-07-13T00:00:00"/>
    <s v="Tablet"/>
    <s v="Electronics"/>
    <n v="6"/>
    <n v="1250.25"/>
    <n v="0.05"/>
    <n v="7501.5"/>
    <n v="375.07500000000005"/>
    <n v="7126.4250000000002"/>
    <x v="0"/>
    <s v="ID is present"/>
    <s v="Low"/>
    <x v="0"/>
  </r>
  <r>
    <s v="ORD-0095"/>
    <s v="SP007"/>
    <d v="2024-10-07T00:00:00"/>
    <s v="USB Hub"/>
    <s v="Accessories"/>
    <n v="1"/>
    <n v="642.55999999999995"/>
    <n v="0"/>
    <n v="642.55999999999995"/>
    <n v="0"/>
    <n v="642.55999999999995"/>
    <x v="0"/>
    <s v="ID is present"/>
    <s v="Low"/>
    <x v="10"/>
  </r>
  <r>
    <s v="ORD-0096"/>
    <s v="SP007"/>
    <d v="2024-10-23T00:00:00"/>
    <s v="Scanner"/>
    <s v="Office"/>
    <n v="11"/>
    <n v="956.73"/>
    <n v="0.1"/>
    <n v="10524.03"/>
    <n v="1052.403"/>
    <n v="9471.6270000000004"/>
    <x v="0"/>
    <s v="ID is present"/>
    <s v="Low"/>
    <x v="10"/>
  </r>
  <r>
    <s v="ORD-0097"/>
    <s v="SP011"/>
    <d v="2024-04-19T00:00:00"/>
    <s v="Printer"/>
    <s v="Office"/>
    <n v="16"/>
    <n v="1597.78"/>
    <n v="0.25"/>
    <n v="25564.48"/>
    <n v="6391.12"/>
    <n v="19173.36"/>
    <x v="0"/>
    <s v="ID is present"/>
    <s v="High"/>
    <x v="0"/>
  </r>
  <r>
    <s v="ORD-0098"/>
    <s v="SP012"/>
    <d v="2024-03-27T00:00:00"/>
    <s v="Tablet"/>
    <s v="Electronics"/>
    <n v="3"/>
    <n v="603.38"/>
    <n v="0.2"/>
    <n v="1810.1399999999999"/>
    <n v="362.02800000000002"/>
    <n v="1448.1119999999999"/>
    <x v="1"/>
    <s v="ID is present"/>
    <s v="High"/>
    <x v="1"/>
  </r>
  <r>
    <s v="ORD-0099"/>
    <s v="SP011"/>
    <d v="2024-11-13T00:00:00"/>
    <s v="Webcam"/>
    <s v="Electronics"/>
    <n v="3"/>
    <n v="1645.93"/>
    <n v="0.25"/>
    <n v="4937.79"/>
    <n v="1234.4475"/>
    <n v="3703.3424999999997"/>
    <x v="0"/>
    <s v="ID is present"/>
    <s v="High"/>
    <x v="0"/>
  </r>
  <r>
    <s v="ORD-0100"/>
    <s v="SP004"/>
    <d v="2024-12-10T00:00:00"/>
    <s v="Headset"/>
    <s v="Accessories"/>
    <n v="8"/>
    <n v="1622.8"/>
    <n v="0"/>
    <n v="12982.4"/>
    <n v="0"/>
    <n v="12982.4"/>
    <x v="1"/>
    <s v="ID is present"/>
    <s v="Low"/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0001"/>
    <s v="SP011"/>
    <d v="2024-02-27T00:00:00"/>
    <s v="Laptop"/>
    <s v="Electronics"/>
    <n v="9"/>
    <n v="527.54"/>
    <n v="0"/>
    <n v="4747.8599999999997"/>
    <n v="0"/>
    <n v="4747.8599999999997"/>
    <x v="0"/>
    <s v="ID is present"/>
    <s v="Low"/>
    <s v="Karen Harris"/>
  </r>
  <r>
    <s v="ORD-0002"/>
    <s v="SP012"/>
    <d v="2024-02-22T00:00:00"/>
    <s v="Tablet"/>
    <s v="Electronics"/>
    <n v="18"/>
    <n v="219.53"/>
    <n v="0.1"/>
    <n v="3951.54"/>
    <n v="395.154"/>
    <n v="3556.386"/>
    <x v="1"/>
    <s v="ID is present"/>
    <s v="Low"/>
    <s v="Leo Martinez"/>
  </r>
  <r>
    <s v="ORD-0003"/>
    <s v="SP001"/>
    <d v="2024-01-16T00:00:00"/>
    <s v="Monitor"/>
    <s v="Electronics"/>
    <n v="7"/>
    <n v="503.69"/>
    <n v="0.15"/>
    <n v="3525.83"/>
    <n v="528.87450000000001"/>
    <n v="2996.9555"/>
    <x v="2"/>
    <s v="ID is present"/>
    <s v="High"/>
    <s v="Alice Johnson"/>
  </r>
  <r>
    <s v="ORD-0004"/>
    <s v="SP001"/>
    <d v="2024-10-14T00:00:00"/>
    <s v="Mouse"/>
    <s v="Accessories"/>
    <n v="18"/>
    <n v="868.06"/>
    <n v="0.1"/>
    <n v="15625.079999999998"/>
    <n v="1562.5079999999998"/>
    <n v="14062.571999999998"/>
    <x v="2"/>
    <s v="ID is present"/>
    <s v="Low"/>
    <s v="Alice Johnson"/>
  </r>
  <r>
    <s v="ORD-0005"/>
    <s v="SP010"/>
    <d v="2024-05-22T00:00:00"/>
    <s v="Charger"/>
    <s v="Accessories"/>
    <n v="1"/>
    <n v="1529.67"/>
    <n v="0"/>
    <n v="1529.67"/>
    <n v="0"/>
    <n v="1529.67"/>
    <x v="3"/>
    <s v="ID is present"/>
    <s v="Low"/>
    <s v="James White"/>
  </r>
  <r>
    <s v="ORD-0006"/>
    <s v="SP012"/>
    <d v="2024-08-04T00:00:00"/>
    <s v="Webcam"/>
    <s v="Electronics"/>
    <n v="9"/>
    <n v="353.19"/>
    <n v="0.25"/>
    <n v="3178.71"/>
    <n v="794.67750000000001"/>
    <n v="2384.0325000000003"/>
    <x v="1"/>
    <s v="ID is present"/>
    <s v="High"/>
    <s v="Leo Martinez"/>
  </r>
  <r>
    <s v="ORD-0007"/>
    <s v="SP006"/>
    <d v="2024-02-22T00:00:00"/>
    <s v="Monitor"/>
    <s v="Electronics"/>
    <n v="13"/>
    <n v="238.6"/>
    <n v="0.25"/>
    <n v="3101.7999999999997"/>
    <n v="775.44999999999993"/>
    <n v="2326.35"/>
    <x v="3"/>
    <s v="ID is present"/>
    <s v="High"/>
    <s v="Frank Wilson"/>
  </r>
  <r>
    <s v="ORD-0008"/>
    <s v="SP006"/>
    <d v="2024-11-05T00:00:00"/>
    <s v="Headset"/>
    <s v="Accessories"/>
    <n v="2"/>
    <n v="1472.98"/>
    <n v="0.15"/>
    <n v="2945.96"/>
    <n v="441.89400000000001"/>
    <n v="2504.0659999999998"/>
    <x v="3"/>
    <s v="ID is present"/>
    <s v="High"/>
    <s v="Frank Wilson"/>
  </r>
  <r>
    <s v="ORD-0009"/>
    <s v="SP002"/>
    <d v="2024-07-12T00:00:00"/>
    <s v="Monitor"/>
    <s v="Electronics"/>
    <n v="18"/>
    <n v="621.70000000000005"/>
    <n v="0.2"/>
    <n v="11190.6"/>
    <n v="2238.1200000000003"/>
    <n v="8952.48"/>
    <x v="3"/>
    <s v="ID is present"/>
    <s v="High"/>
    <s v="Bob Martinez"/>
  </r>
  <r>
    <s v="ORD-0010"/>
    <s v="SP010"/>
    <d v="2024-07-04T00:00:00"/>
    <s v="Scanner"/>
    <s v="Office"/>
    <n v="7"/>
    <n v="1423.92"/>
    <n v="0"/>
    <n v="9967.44"/>
    <n v="0"/>
    <n v="9967.44"/>
    <x v="3"/>
    <s v="ID is present"/>
    <s v="Low"/>
    <s v="James White"/>
  </r>
  <r>
    <s v="ORD-0011"/>
    <s v="SP011"/>
    <d v="2024-04-26T00:00:00"/>
    <s v="Charger"/>
    <s v="Accessories"/>
    <n v="10"/>
    <n v="1971.18"/>
    <n v="0.25"/>
    <n v="19711.8"/>
    <n v="4927.95"/>
    <n v="14783.849999999999"/>
    <x v="0"/>
    <s v="ID is present"/>
    <s v="High"/>
    <s v="Karen Harris"/>
  </r>
  <r>
    <s v="ORD-0012"/>
    <s v="SP004"/>
    <d v="2024-02-21T00:00:00"/>
    <s v="Desk Chair"/>
    <s v="Furniture"/>
    <n v="9"/>
    <n v="934.15"/>
    <n v="0.25"/>
    <n v="8407.35"/>
    <n v="2101.8375000000001"/>
    <n v="6305.5125000000007"/>
    <x v="1"/>
    <s v="ID is present"/>
    <s v="High"/>
    <s v="David Kim"/>
  </r>
  <r>
    <s v="ORD-0013"/>
    <s v="SP006"/>
    <d v="2024-03-24T00:00:00"/>
    <s v="Webcam"/>
    <s v="Electronics"/>
    <n v="12"/>
    <n v="458.54"/>
    <n v="0.05"/>
    <n v="5502.4800000000005"/>
    <n v="275.12400000000002"/>
    <n v="5227.3560000000007"/>
    <x v="3"/>
    <s v="ID is present"/>
    <s v="Low"/>
    <s v="Frank Wilson"/>
  </r>
  <r>
    <s v="ORD-0014"/>
    <s v="SP012"/>
    <d v="2024-12-15T00:00:00"/>
    <s v="Tablet"/>
    <s v="Electronics"/>
    <n v="3"/>
    <n v="1237.81"/>
    <n v="0"/>
    <n v="3713.43"/>
    <n v="0"/>
    <n v="3713.43"/>
    <x v="1"/>
    <s v="ID is present"/>
    <s v="Low"/>
    <s v="Leo Martinez"/>
  </r>
  <r>
    <s v="ORD-0015"/>
    <s v="SP009"/>
    <d v="2024-05-05T00:00:00"/>
    <s v="Keyboard"/>
    <s v="Accessories"/>
    <n v="15"/>
    <n v="789.94"/>
    <n v="0.2"/>
    <n v="11849.1"/>
    <n v="2369.8200000000002"/>
    <n v="9479.2800000000007"/>
    <x v="2"/>
    <s v="ID is present"/>
    <s v="High"/>
    <s v="Iris Thompson"/>
  </r>
  <r>
    <s v="ORD-0016"/>
    <s v="SP012"/>
    <d v="2024-10-12T00:00:00"/>
    <s v="Mouse"/>
    <s v="Accessories"/>
    <n v="11"/>
    <n v="1693.56"/>
    <n v="0.25"/>
    <n v="18629.16"/>
    <n v="4657.29"/>
    <n v="13971.869999999999"/>
    <x v="1"/>
    <s v="ID is present"/>
    <s v="High"/>
    <s v="Leo Martinez"/>
  </r>
  <r>
    <s v="ORD-0017"/>
    <s v="SP001"/>
    <d v="2024-04-27T00:00:00"/>
    <s v="USB Hub"/>
    <s v="Accessories"/>
    <n v="2"/>
    <n v="1619.84"/>
    <n v="0.1"/>
    <n v="3239.68"/>
    <n v="323.96800000000002"/>
    <n v="2915.712"/>
    <x v="2"/>
    <s v="ID is present"/>
    <s v="Low"/>
    <s v="Alice Johnson"/>
  </r>
  <r>
    <s v="ORD-0018"/>
    <s v="SP005"/>
    <d v="2024-02-03T00:00:00"/>
    <s v="Mouse"/>
    <s v="Accessories"/>
    <n v="19"/>
    <n v="1758.92"/>
    <n v="0.05"/>
    <n v="33419.480000000003"/>
    <n v="1670.9740000000002"/>
    <n v="31748.506000000001"/>
    <x v="2"/>
    <s v="ID is present"/>
    <s v="Low"/>
    <s v="Eva Brown"/>
  </r>
  <r>
    <s v="ORD-0019"/>
    <s v="SP004"/>
    <d v="2024-12-01T00:00:00"/>
    <s v="Standing Desk"/>
    <s v="Furniture"/>
    <n v="13"/>
    <n v="1775.13"/>
    <n v="0.2"/>
    <n v="23076.690000000002"/>
    <n v="4615.3380000000006"/>
    <n v="18461.352000000003"/>
    <x v="1"/>
    <s v="ID is present"/>
    <s v="High"/>
    <s v="David Kim"/>
  </r>
  <r>
    <s v="ORD-0020"/>
    <s v="SP008"/>
    <d v="2024-03-14T00:00:00"/>
    <s v="Headset"/>
    <s v="Accessories"/>
    <n v="5"/>
    <n v="530.91999999999996"/>
    <n v="0.15"/>
    <n v="2654.6"/>
    <n v="398.19"/>
    <n v="2256.41"/>
    <x v="1"/>
    <s v="ID is present"/>
    <s v="High"/>
    <s v="Henry Davis"/>
  </r>
  <r>
    <s v="ORD-0021"/>
    <s v="SP009"/>
    <d v="2024-05-14T00:00:00"/>
    <s v="Smartphone"/>
    <s v="Electronics"/>
    <n v="19"/>
    <n v="885.45"/>
    <n v="0.15"/>
    <n v="16823.55"/>
    <n v="2523.5324999999998"/>
    <n v="14300.0175"/>
    <x v="2"/>
    <s v="ID is present"/>
    <s v="High"/>
    <s v="Iris Thompson"/>
  </r>
  <r>
    <s v="ORD-0022"/>
    <s v="SP007"/>
    <d v="2024-07-04T00:00:00"/>
    <s v="Mouse"/>
    <s v="Accessories"/>
    <n v="5"/>
    <n v="1043.58"/>
    <n v="0"/>
    <n v="5217.8999999999996"/>
    <n v="0"/>
    <n v="5217.8999999999996"/>
    <x v="0"/>
    <s v="ID is present"/>
    <s v="Low"/>
    <s v="Grace Chen"/>
  </r>
  <r>
    <s v="ORD-0023"/>
    <s v="SP013"/>
    <d v="2024-01-25T00:00:00"/>
    <s v="USB Hub"/>
    <s v="Accessories"/>
    <n v="4"/>
    <n v="348.04"/>
    <n v="0"/>
    <n v="1392.16"/>
    <n v="0"/>
    <n v="1392.16"/>
    <x v="2"/>
    <s v="ID is present"/>
    <s v="Low"/>
    <s v="Mia Clark"/>
  </r>
  <r>
    <s v="ORD-0024"/>
    <s v="SP013"/>
    <d v="2024-12-14T00:00:00"/>
    <s v="Desk Chair"/>
    <s v="Furniture"/>
    <n v="20"/>
    <n v="173.88"/>
    <n v="0.1"/>
    <n v="3477.6"/>
    <n v="347.76"/>
    <n v="3129.84"/>
    <x v="2"/>
    <s v="ID is present"/>
    <s v="Low"/>
    <s v="Mia Clark"/>
  </r>
  <r>
    <s v="ORD-0025"/>
    <s v="SP010"/>
    <d v="2024-08-27T00:00:00"/>
    <s v="Printer"/>
    <s v="Office"/>
    <n v="9"/>
    <n v="1943.6"/>
    <n v="0.25"/>
    <n v="17492.399999999998"/>
    <n v="4373.0999999999995"/>
    <n v="13119.3"/>
    <x v="3"/>
    <s v="ID is present"/>
    <s v="High"/>
    <s v="James White"/>
  </r>
  <r>
    <s v="ORD-0026"/>
    <s v="SP001"/>
    <d v="2024-12-14T00:00:00"/>
    <s v="Smartphone"/>
    <s v="Electronics"/>
    <n v="4"/>
    <n v="1379.34"/>
    <n v="0.15"/>
    <n v="5517.36"/>
    <n v="827.60399999999993"/>
    <n v="4689.7559999999994"/>
    <x v="2"/>
    <s v="ID is present"/>
    <s v="High"/>
    <s v="Alice Johnson"/>
  </r>
  <r>
    <s v="ORD-0027"/>
    <s v="SP013"/>
    <d v="2024-05-16T00:00:00"/>
    <s v="Charger"/>
    <s v="Accessories"/>
    <n v="11"/>
    <n v="267.52999999999997"/>
    <n v="0.1"/>
    <n v="2942.83"/>
    <n v="294.28300000000002"/>
    <n v="2648.547"/>
    <x v="2"/>
    <s v="ID is present"/>
    <s v="Low"/>
    <s v="Mia Clark"/>
  </r>
  <r>
    <s v="ORD-0028"/>
    <s v="SP003"/>
    <d v="2024-08-20T00:00:00"/>
    <s v="Laptop"/>
    <s v="Electronics"/>
    <n v="9"/>
    <n v="1945.18"/>
    <n v="0.25"/>
    <n v="17506.62"/>
    <n v="4376.6549999999997"/>
    <n v="13129.965"/>
    <x v="0"/>
    <s v="ID is present"/>
    <s v="High"/>
    <s v="Carol Lee"/>
  </r>
  <r>
    <s v="ORD-0029"/>
    <s v="SP003"/>
    <d v="2024-09-16T00:00:00"/>
    <s v="Router"/>
    <s v="Networking"/>
    <n v="4"/>
    <n v="1747.51"/>
    <n v="0.05"/>
    <n v="6990.04"/>
    <n v="349.50200000000001"/>
    <n v="6640.5379999999996"/>
    <x v="0"/>
    <s v="ID is present"/>
    <s v="Low"/>
    <s v="Carol Lee"/>
  </r>
  <r>
    <s v="ORD-0030"/>
    <s v="SP014"/>
    <d v="2024-11-23T00:00:00"/>
    <s v="Printer"/>
    <s v="Office"/>
    <n v="20"/>
    <n v="437.88"/>
    <n v="0.05"/>
    <n v="8757.6"/>
    <n v="437.88000000000005"/>
    <n v="8319.7200000000012"/>
    <x v="3"/>
    <s v="ID is present"/>
    <s v="Low"/>
    <s v="Noah Lewis"/>
  </r>
  <r>
    <s v="ORD-0031"/>
    <s v="SP013"/>
    <d v="2024-03-23T00:00:00"/>
    <s v="Printer"/>
    <s v="Office"/>
    <n v="17"/>
    <n v="1841.06"/>
    <n v="0.15"/>
    <n v="31298.02"/>
    <n v="4694.7029999999995"/>
    <n v="26603.317000000003"/>
    <x v="2"/>
    <s v="ID is present"/>
    <s v="High"/>
    <s v="Mia Clark"/>
  </r>
  <r>
    <s v="ORD-0032"/>
    <s v="SP006"/>
    <d v="2024-09-07T00:00:00"/>
    <s v="Laptop"/>
    <s v="Electronics"/>
    <n v="4"/>
    <n v="1861.74"/>
    <n v="0.25"/>
    <n v="7446.96"/>
    <n v="1861.74"/>
    <n v="5585.22"/>
    <x v="3"/>
    <s v="ID is present"/>
    <s v="High"/>
    <s v="Frank Wilson"/>
  </r>
  <r>
    <s v="ORD-0033"/>
    <s v="SP013"/>
    <d v="2024-06-06T00:00:00"/>
    <s v="Mouse"/>
    <s v="Accessories"/>
    <n v="2"/>
    <n v="519.70000000000005"/>
    <n v="0.15"/>
    <n v="1039.4000000000001"/>
    <n v="155.91"/>
    <n v="883.49000000000012"/>
    <x v="2"/>
    <s v="ID is present"/>
    <s v="High"/>
    <s v="Mia Clark"/>
  </r>
  <r>
    <s v="ORD-0034"/>
    <s v="SP002"/>
    <d v="2024-02-13T00:00:00"/>
    <s v="Smartphone"/>
    <s v="Electronics"/>
    <n v="16"/>
    <n v="1641.25"/>
    <n v="0.25"/>
    <n v="26260"/>
    <n v="6565"/>
    <n v="19695"/>
    <x v="3"/>
    <s v="ID is present"/>
    <s v="High"/>
    <s v="Bob Martinez"/>
  </r>
  <r>
    <s v="ORD-0035"/>
    <s v="SP009"/>
    <d v="2024-03-05T00:00:00"/>
    <s v="Keyboard"/>
    <s v="Accessories"/>
    <n v="16"/>
    <n v="1896.35"/>
    <n v="0"/>
    <n v="30341.599999999999"/>
    <n v="0"/>
    <n v="30341.599999999999"/>
    <x v="2"/>
    <s v="ID is present"/>
    <s v="Low"/>
    <s v="Iris Thompson"/>
  </r>
  <r>
    <s v="ORD-0036"/>
    <s v="SP005"/>
    <d v="2024-09-27T00:00:00"/>
    <s v="USB Hub"/>
    <s v="Accessories"/>
    <n v="20"/>
    <n v="875.12"/>
    <n v="0"/>
    <n v="17502.400000000001"/>
    <n v="0"/>
    <n v="17502.400000000001"/>
    <x v="2"/>
    <s v="ID is present"/>
    <s v="Low"/>
    <s v="Eva Brown"/>
  </r>
  <r>
    <s v="ORD-0037"/>
    <s v="SP015"/>
    <d v="2024-10-03T00:00:00"/>
    <s v="Charger"/>
    <s v="Accessories"/>
    <n v="7"/>
    <n v="1440.25"/>
    <n v="0.1"/>
    <n v="10081.75"/>
    <n v="1008.1750000000001"/>
    <n v="9073.5750000000007"/>
    <x v="0"/>
    <s v="ID is present"/>
    <s v="Low"/>
    <s v="Olivia Walker"/>
  </r>
  <r>
    <s v="ORD-0038"/>
    <s v="SP011"/>
    <d v="2024-11-28T00:00:00"/>
    <s v="Webcam"/>
    <s v="Electronics"/>
    <n v="15"/>
    <n v="1804.25"/>
    <n v="0.1"/>
    <n v="27063.75"/>
    <n v="2706.375"/>
    <n v="24357.375"/>
    <x v="0"/>
    <s v="ID is present"/>
    <s v="Low"/>
    <s v="Karen Harris"/>
  </r>
  <r>
    <s v="ORD-0039"/>
    <s v="SP002"/>
    <d v="2024-05-06T00:00:00"/>
    <s v="Mouse"/>
    <s v="Accessories"/>
    <n v="3"/>
    <n v="709.27"/>
    <n v="0.15"/>
    <n v="2127.81"/>
    <n v="319.17149999999998"/>
    <n v="1808.6385"/>
    <x v="3"/>
    <s v="ID is present"/>
    <s v="High"/>
    <s v="Bob Martinez"/>
  </r>
  <r>
    <s v="ORD-0040"/>
    <s v="SP009"/>
    <d v="2024-04-27T00:00:00"/>
    <s v="Scanner"/>
    <s v="Office"/>
    <n v="8"/>
    <n v="64.02"/>
    <n v="0.2"/>
    <n v="512.16"/>
    <n v="102.432"/>
    <n v="409.72799999999995"/>
    <x v="2"/>
    <s v="ID is present"/>
    <s v="High"/>
    <s v="Iris Thompson"/>
  </r>
  <r>
    <s v="ORD-0041"/>
    <s v="SP011"/>
    <d v="2024-01-31T00:00:00"/>
    <s v="Mouse"/>
    <s v="Accessories"/>
    <n v="3"/>
    <n v="1815.57"/>
    <n v="0.25"/>
    <n v="5446.71"/>
    <n v="1361.6775"/>
    <n v="4085.0325000000003"/>
    <x v="0"/>
    <s v="ID is present"/>
    <s v="High"/>
    <s v="Karen Harris"/>
  </r>
  <r>
    <s v="ORD-0042"/>
    <s v="SP006"/>
    <d v="2024-02-06T00:00:00"/>
    <s v="Printer"/>
    <s v="Office"/>
    <n v="8"/>
    <n v="593.03"/>
    <n v="0.1"/>
    <n v="4744.24"/>
    <n v="474.42399999999998"/>
    <n v="4269.8159999999998"/>
    <x v="3"/>
    <s v="ID is present"/>
    <s v="Low"/>
    <s v="Frank Wilson"/>
  </r>
  <r>
    <s v="ORD-0043"/>
    <s v="SP004"/>
    <d v="2024-10-03T00:00:00"/>
    <s v="Keyboard"/>
    <s v="Accessories"/>
    <n v="19"/>
    <n v="1173.6099999999999"/>
    <n v="0"/>
    <n v="22298.589999999997"/>
    <n v="0"/>
    <n v="22298.589999999997"/>
    <x v="1"/>
    <s v="ID is present"/>
    <s v="Low"/>
    <s v="David Kim"/>
  </r>
  <r>
    <s v="ORD-0044"/>
    <s v="SP013"/>
    <d v="2024-08-30T00:00:00"/>
    <s v="Charger"/>
    <s v="Accessories"/>
    <n v="14"/>
    <n v="421.3"/>
    <n v="0"/>
    <n v="5898.2"/>
    <n v="0"/>
    <n v="5898.2"/>
    <x v="2"/>
    <s v="ID is present"/>
    <s v="Low"/>
    <s v="Mia Clark"/>
  </r>
  <r>
    <s v="ORD-0045"/>
    <s v="SP011"/>
    <d v="2024-08-08T00:00:00"/>
    <s v="Webcam"/>
    <s v="Electronics"/>
    <n v="14"/>
    <n v="851.65"/>
    <n v="0.25"/>
    <n v="11923.1"/>
    <n v="2980.7750000000001"/>
    <n v="8942.3250000000007"/>
    <x v="0"/>
    <s v="ID is present"/>
    <s v="High"/>
    <s v="Karen Harris"/>
  </r>
  <r>
    <s v="ORD-0046"/>
    <s v="SP012"/>
    <d v="2024-01-28T00:00:00"/>
    <s v="Tablet"/>
    <s v="Electronics"/>
    <n v="4"/>
    <n v="168.19"/>
    <n v="0.2"/>
    <n v="672.76"/>
    <n v="134.55199999999999"/>
    <n v="538.20799999999997"/>
    <x v="1"/>
    <s v="ID is present"/>
    <s v="High"/>
    <s v="Leo Martinez"/>
  </r>
  <r>
    <s v="ORD-0047"/>
    <s v="SP006"/>
    <d v="2024-02-25T00:00:00"/>
    <s v="Mouse"/>
    <s v="Accessories"/>
    <n v="7"/>
    <n v="420.91"/>
    <n v="0.1"/>
    <n v="2946.3700000000003"/>
    <n v="294.63700000000006"/>
    <n v="2651.7330000000002"/>
    <x v="3"/>
    <s v="ID is present"/>
    <s v="Low"/>
    <s v="Frank Wilson"/>
  </r>
  <r>
    <s v="ORD-0048"/>
    <s v="SP003"/>
    <d v="2024-08-04T00:00:00"/>
    <s v="Keyboard"/>
    <s v="Accessories"/>
    <n v="9"/>
    <n v="952.12"/>
    <n v="0.25"/>
    <n v="8569.08"/>
    <n v="2142.27"/>
    <n v="6426.8099999999995"/>
    <x v="0"/>
    <s v="ID is present"/>
    <s v="High"/>
    <s v="Carol Lee"/>
  </r>
  <r>
    <s v="ORD-0049"/>
    <s v="SP015"/>
    <d v="2024-02-08T00:00:00"/>
    <s v="Standing Desk"/>
    <s v="Furniture"/>
    <n v="18"/>
    <n v="240.92"/>
    <n v="0.2"/>
    <n v="4336.5599999999995"/>
    <n v="867.3119999999999"/>
    <n v="3469.2479999999996"/>
    <x v="0"/>
    <s v="ID is present"/>
    <s v="High"/>
    <s v="Olivia Walker"/>
  </r>
  <r>
    <s v="ORD-0050"/>
    <s v="SP009"/>
    <d v="2024-01-08T00:00:00"/>
    <s v="Monitor"/>
    <s v="Electronics"/>
    <n v="8"/>
    <n v="374.31"/>
    <n v="0.1"/>
    <n v="2994.48"/>
    <n v="299.44800000000004"/>
    <n v="2695.0320000000002"/>
    <x v="2"/>
    <s v="ID is present"/>
    <s v="Low"/>
    <s v="Iris Thompson"/>
  </r>
  <r>
    <s v="ORD-0051"/>
    <s v="SP008"/>
    <d v="2024-04-19T00:00:00"/>
    <s v="USB Hub"/>
    <s v="Accessories"/>
    <n v="13"/>
    <n v="1809.76"/>
    <n v="0"/>
    <n v="23526.880000000001"/>
    <n v="0"/>
    <n v="23526.880000000001"/>
    <x v="1"/>
    <s v="ID is present"/>
    <s v="Low"/>
    <s v="Henry Davis"/>
  </r>
  <r>
    <s v="ORD-0052"/>
    <s v="SP007"/>
    <d v="2024-01-02T00:00:00"/>
    <s v="Desk Chair"/>
    <s v="Furniture"/>
    <n v="9"/>
    <n v="1856.71"/>
    <n v="0.25"/>
    <n v="16710.39"/>
    <n v="4177.5974999999999"/>
    <n v="12532.7925"/>
    <x v="0"/>
    <s v="ID is present"/>
    <s v="High"/>
    <s v="Grace Chen"/>
  </r>
  <r>
    <s v="ORD-0053"/>
    <s v="SP008"/>
    <d v="2024-05-26T00:00:00"/>
    <s v="Desk Chair"/>
    <s v="Furniture"/>
    <n v="18"/>
    <n v="1340.65"/>
    <n v="0.1"/>
    <n v="24131.7"/>
    <n v="2413.17"/>
    <n v="21718.53"/>
    <x v="1"/>
    <s v="ID is present"/>
    <s v="Low"/>
    <s v="Henry Davis"/>
  </r>
  <r>
    <s v="ORD-0054"/>
    <s v="SP003"/>
    <d v="2024-04-07T00:00:00"/>
    <s v="Headset"/>
    <s v="Accessories"/>
    <n v="7"/>
    <n v="1938.98"/>
    <n v="0.15"/>
    <n v="13572.86"/>
    <n v="2035.9290000000001"/>
    <n v="11536.931"/>
    <x v="0"/>
    <s v="ID is present"/>
    <s v="High"/>
    <s v="Carol Lee"/>
  </r>
  <r>
    <s v="ORD-0055"/>
    <s v="SP012"/>
    <d v="2024-10-04T00:00:00"/>
    <s v="Laptop"/>
    <s v="Electronics"/>
    <n v="11"/>
    <n v="161.47"/>
    <n v="0.15"/>
    <n v="1776.17"/>
    <n v="266.4255"/>
    <n v="1509.7445"/>
    <x v="1"/>
    <s v="ID is present"/>
    <s v="High"/>
    <s v="Leo Martinez"/>
  </r>
  <r>
    <s v="ORD-0056"/>
    <s v="SP008"/>
    <d v="2024-09-14T00:00:00"/>
    <s v="Router"/>
    <s v="Networking"/>
    <n v="17"/>
    <n v="356.99"/>
    <n v="0.15"/>
    <n v="6068.83"/>
    <n v="910.32449999999994"/>
    <n v="5158.5055000000002"/>
    <x v="1"/>
    <s v="ID is present"/>
    <s v="High"/>
    <s v="Henry Davis"/>
  </r>
  <r>
    <s v="ORD-0057"/>
    <s v="SP002"/>
    <d v="2024-04-05T00:00:00"/>
    <s v="Monitor"/>
    <s v="Electronics"/>
    <n v="20"/>
    <n v="182.52"/>
    <n v="0.25"/>
    <n v="3650.4"/>
    <n v="912.6"/>
    <n v="2737.8"/>
    <x v="3"/>
    <s v="ID is present"/>
    <s v="High"/>
    <s v="Bob Martinez"/>
  </r>
  <r>
    <s v="ORD-0058"/>
    <s v="SP004"/>
    <d v="2024-07-25T00:00:00"/>
    <s v="Monitor"/>
    <s v="Electronics"/>
    <n v="19"/>
    <n v="530.12"/>
    <n v="0.15"/>
    <n v="10072.280000000001"/>
    <n v="1510.8420000000001"/>
    <n v="8561.4380000000001"/>
    <x v="1"/>
    <s v="ID is present"/>
    <s v="High"/>
    <s v="David Kim"/>
  </r>
  <r>
    <s v="ORD-0059"/>
    <s v="SP001"/>
    <d v="2024-11-13T00:00:00"/>
    <s v="Monitor"/>
    <s v="Electronics"/>
    <n v="14"/>
    <n v="1331.88"/>
    <n v="0.15"/>
    <n v="18646.32"/>
    <n v="2796.9479999999999"/>
    <n v="15849.371999999999"/>
    <x v="2"/>
    <s v="ID is present"/>
    <s v="High"/>
    <s v="Alice Johnson"/>
  </r>
  <r>
    <s v="ORD-0060"/>
    <s v="SP009"/>
    <d v="2024-06-10T00:00:00"/>
    <s v="Router"/>
    <s v="Networking"/>
    <n v="9"/>
    <n v="448.31"/>
    <n v="0.2"/>
    <n v="4034.79"/>
    <n v="806.95800000000008"/>
    <n v="3227.8319999999999"/>
    <x v="2"/>
    <s v="ID is present"/>
    <s v="High"/>
    <s v="Iris Thompson"/>
  </r>
  <r>
    <s v="ORD-0061"/>
    <s v="SP006"/>
    <d v="2024-05-02T00:00:00"/>
    <s v="Headset"/>
    <s v="Accessories"/>
    <n v="13"/>
    <n v="305.20999999999998"/>
    <n v="0.2"/>
    <n v="3967.7299999999996"/>
    <n v="793.54599999999994"/>
    <n v="3174.1839999999997"/>
    <x v="3"/>
    <s v="ID is present"/>
    <s v="High"/>
    <s v="Frank Wilson"/>
  </r>
  <r>
    <s v="ORD-0062"/>
    <s v="SP005"/>
    <d v="2024-08-22T00:00:00"/>
    <s v="Webcam"/>
    <s v="Electronics"/>
    <n v="3"/>
    <n v="68.17"/>
    <n v="0.15"/>
    <n v="204.51"/>
    <n v="30.676499999999997"/>
    <n v="173.83349999999999"/>
    <x v="2"/>
    <s v="ID is present"/>
    <s v="High"/>
    <s v="Eva Brown"/>
  </r>
  <r>
    <s v="ORD-0063"/>
    <s v="SP010"/>
    <d v="2024-02-21T00:00:00"/>
    <s v="Monitor"/>
    <s v="Electronics"/>
    <n v="18"/>
    <n v="465.65"/>
    <n v="0.05"/>
    <n v="8381.6999999999989"/>
    <n v="419.08499999999998"/>
    <n v="7962.6149999999989"/>
    <x v="3"/>
    <s v="ID is present"/>
    <s v="Low"/>
    <s v="James White"/>
  </r>
  <r>
    <s v="ORD-0064"/>
    <s v="SP003"/>
    <d v="2024-06-27T00:00:00"/>
    <s v="Router"/>
    <s v="Networking"/>
    <n v="3"/>
    <n v="1764.58"/>
    <n v="0.05"/>
    <n v="5293.74"/>
    <n v="264.68700000000001"/>
    <n v="5029.0529999999999"/>
    <x v="0"/>
    <s v="ID is present"/>
    <s v="Low"/>
    <s v="Carol Lee"/>
  </r>
  <r>
    <s v="ORD-0065"/>
    <s v="SP005"/>
    <d v="2024-03-21T00:00:00"/>
    <s v="Standing Desk"/>
    <s v="Furniture"/>
    <n v="18"/>
    <n v="1421.9"/>
    <n v="0.15"/>
    <n v="25594.2"/>
    <n v="3839.13"/>
    <n v="21755.07"/>
    <x v="2"/>
    <s v="ID is present"/>
    <s v="High"/>
    <s v="Eva Brown"/>
  </r>
  <r>
    <s v="ORD-0066"/>
    <s v="SP013"/>
    <d v="2024-11-30T00:00:00"/>
    <s v="Printer"/>
    <s v="Office"/>
    <n v="1"/>
    <n v="1352.33"/>
    <n v="0.15"/>
    <n v="1352.33"/>
    <n v="202.84949999999998"/>
    <n v="1149.4804999999999"/>
    <x v="2"/>
    <s v="ID is present"/>
    <s v="High"/>
    <s v="Mia Clark"/>
  </r>
  <r>
    <s v="ORD-0067"/>
    <s v="SP005"/>
    <d v="2024-12-05T00:00:00"/>
    <s v="Monitor"/>
    <s v="Electronics"/>
    <n v="5"/>
    <n v="565.71"/>
    <n v="0"/>
    <n v="2828.55"/>
    <n v="0"/>
    <n v="2828.55"/>
    <x v="2"/>
    <s v="ID is present"/>
    <s v="Low"/>
    <s v="Eva Brown"/>
  </r>
  <r>
    <s v="ORD-0068"/>
    <s v="SP012"/>
    <d v="2024-10-10T00:00:00"/>
    <s v="Keyboard"/>
    <s v="Accessories"/>
    <n v="9"/>
    <n v="599.41999999999996"/>
    <n v="0"/>
    <n v="5394.78"/>
    <n v="0"/>
    <n v="5394.78"/>
    <x v="1"/>
    <s v="ID is present"/>
    <s v="Low"/>
    <s v="Leo Martinez"/>
  </r>
  <r>
    <s v="ORD-0069"/>
    <s v="SP012"/>
    <d v="2024-06-24T00:00:00"/>
    <s v="Mouse"/>
    <s v="Accessories"/>
    <n v="9"/>
    <n v="1035.55"/>
    <n v="0.05"/>
    <n v="9319.9499999999989"/>
    <n v="465.99749999999995"/>
    <n v="8853.9524999999994"/>
    <x v="1"/>
    <s v="ID is present"/>
    <s v="Low"/>
    <s v="Leo Martinez"/>
  </r>
  <r>
    <s v="ORD-0070"/>
    <s v="SP015"/>
    <d v="2024-01-27T00:00:00"/>
    <s v="Monitor"/>
    <s v="Electronics"/>
    <n v="14"/>
    <n v="1667.23"/>
    <n v="0"/>
    <n v="23341.22"/>
    <n v="0"/>
    <n v="23341.22"/>
    <x v="0"/>
    <s v="ID is present"/>
    <s v="Low"/>
    <s v="Olivia Walker"/>
  </r>
  <r>
    <s v="ORD-0071"/>
    <s v="SP001"/>
    <d v="2024-06-19T00:00:00"/>
    <s v="Charger"/>
    <s v="Accessories"/>
    <n v="5"/>
    <n v="1292.3699999999999"/>
    <n v="0.05"/>
    <n v="6461.8499999999995"/>
    <n v="323.09249999999997"/>
    <n v="6138.7574999999997"/>
    <x v="2"/>
    <s v="ID is present"/>
    <s v="Low"/>
    <s v="Alice Johnson"/>
  </r>
  <r>
    <s v="ORD-0072"/>
    <s v="SP003"/>
    <d v="2024-08-14T00:00:00"/>
    <s v="Printer"/>
    <s v="Office"/>
    <n v="14"/>
    <n v="1143.77"/>
    <n v="0"/>
    <n v="16012.779999999999"/>
    <n v="0"/>
    <n v="16012.779999999999"/>
    <x v="0"/>
    <s v="ID is present"/>
    <s v="Low"/>
    <s v="Carol Lee"/>
  </r>
  <r>
    <s v="ORD-0073"/>
    <s v="SP002"/>
    <d v="2024-12-19T00:00:00"/>
    <s v="Router"/>
    <s v="Networking"/>
    <n v="5"/>
    <n v="1113.9000000000001"/>
    <n v="0.25"/>
    <n v="5569.5"/>
    <n v="1392.375"/>
    <n v="4177.125"/>
    <x v="3"/>
    <s v="ID is present"/>
    <s v="High"/>
    <s v="Bob Martinez"/>
  </r>
  <r>
    <s v="ORD-0074"/>
    <s v="SP006"/>
    <d v="2024-10-25T00:00:00"/>
    <s v="Printer"/>
    <s v="Office"/>
    <n v="5"/>
    <n v="888.08"/>
    <n v="0"/>
    <n v="4440.4000000000005"/>
    <n v="0"/>
    <n v="4440.4000000000005"/>
    <x v="3"/>
    <s v="ID is present"/>
    <s v="Low"/>
    <s v="Frank Wilson"/>
  </r>
  <r>
    <s v="ORD-0075"/>
    <s v="SP005"/>
    <d v="2024-07-05T00:00:00"/>
    <s v="Router"/>
    <s v="Networking"/>
    <n v="2"/>
    <n v="1802.9"/>
    <n v="0"/>
    <n v="3605.8"/>
    <n v="0"/>
    <n v="3605.8"/>
    <x v="2"/>
    <s v="ID is present"/>
    <s v="Low"/>
    <s v="Eva Brown"/>
  </r>
  <r>
    <s v="ORD-0076"/>
    <s v="SP011"/>
    <d v="2024-05-07T00:00:00"/>
    <s v="Tablet"/>
    <s v="Electronics"/>
    <n v="4"/>
    <n v="739.67"/>
    <n v="0.15"/>
    <n v="2958.68"/>
    <n v="443.80199999999996"/>
    <n v="2514.8779999999997"/>
    <x v="0"/>
    <s v="ID is present"/>
    <s v="High"/>
    <s v="Karen Harris"/>
  </r>
  <r>
    <s v="ORD-0077"/>
    <s v="SP015"/>
    <d v="2024-07-27T00:00:00"/>
    <s v="Scanner"/>
    <s v="Office"/>
    <n v="5"/>
    <n v="1855.24"/>
    <n v="0"/>
    <n v="9276.2000000000007"/>
    <n v="0"/>
    <n v="9276.2000000000007"/>
    <x v="0"/>
    <s v="ID is present"/>
    <s v="Low"/>
    <s v="Olivia Walker"/>
  </r>
  <r>
    <s v="ORD-0078"/>
    <s v="SP014"/>
    <d v="2024-03-24T00:00:00"/>
    <s v="Charger"/>
    <s v="Accessories"/>
    <n v="6"/>
    <n v="1768.76"/>
    <n v="0"/>
    <n v="10612.56"/>
    <n v="0"/>
    <n v="10612.56"/>
    <x v="3"/>
    <s v="ID is present"/>
    <s v="Low"/>
    <s v="Noah Lewis"/>
  </r>
  <r>
    <s v="ORD-0079"/>
    <s v="SP003"/>
    <d v="2024-06-19T00:00:00"/>
    <s v="Charger"/>
    <s v="Accessories"/>
    <n v="14"/>
    <n v="1614.36"/>
    <n v="0.25"/>
    <n v="22601.039999999997"/>
    <n v="5650.2599999999993"/>
    <n v="16950.78"/>
    <x v="0"/>
    <s v="ID is present"/>
    <s v="High"/>
    <s v="Carol Lee"/>
  </r>
  <r>
    <s v="ORD-0080"/>
    <s v="SP012"/>
    <d v="2024-05-07T00:00:00"/>
    <s v="Headset"/>
    <s v="Accessories"/>
    <n v="6"/>
    <n v="1585.38"/>
    <n v="0"/>
    <n v="9512.2800000000007"/>
    <n v="0"/>
    <n v="9512.2800000000007"/>
    <x v="1"/>
    <s v="ID is present"/>
    <s v="Low"/>
    <s v="Leo Martinez"/>
  </r>
  <r>
    <s v="ORD-0081"/>
    <s v="SP007"/>
    <d v="2024-01-20T00:00:00"/>
    <s v="USB Hub"/>
    <s v="Accessories"/>
    <n v="16"/>
    <n v="483.75"/>
    <n v="0.25"/>
    <n v="7740"/>
    <n v="1935"/>
    <n v="5805"/>
    <x v="0"/>
    <s v="ID is present"/>
    <s v="High"/>
    <s v="Grace Chen"/>
  </r>
  <r>
    <s v="ORD-0082"/>
    <s v="SP015"/>
    <d v="2024-08-23T00:00:00"/>
    <s v="Webcam"/>
    <s v="Electronics"/>
    <n v="10"/>
    <n v="1650.05"/>
    <n v="0.25"/>
    <n v="16500.5"/>
    <n v="4125.125"/>
    <n v="12375.375"/>
    <x v="0"/>
    <s v="ID is present"/>
    <s v="High"/>
    <s v="Olivia Walker"/>
  </r>
  <r>
    <s v="ORD-0083"/>
    <s v="SP004"/>
    <d v="2024-04-24T00:00:00"/>
    <s v="Laptop"/>
    <s v="Electronics"/>
    <n v="7"/>
    <n v="827.01"/>
    <n v="0.05"/>
    <n v="5789.07"/>
    <n v="289.45350000000002"/>
    <n v="5499.6165000000001"/>
    <x v="1"/>
    <s v="ID is present"/>
    <s v="Low"/>
    <s v="David Kim"/>
  </r>
  <r>
    <s v="ORD-0084"/>
    <s v="SP014"/>
    <d v="2024-02-05T00:00:00"/>
    <s v="Charger"/>
    <s v="Accessories"/>
    <n v="9"/>
    <n v="734.73"/>
    <n v="0.15"/>
    <n v="6612.57"/>
    <n v="991.88549999999987"/>
    <n v="5620.6844999999994"/>
    <x v="3"/>
    <s v="ID is present"/>
    <s v="High"/>
    <s v="Noah Lewis"/>
  </r>
  <r>
    <s v="ORD-0085"/>
    <s v="SP007"/>
    <d v="2024-12-13T00:00:00"/>
    <s v="USB Hub"/>
    <s v="Accessories"/>
    <n v="18"/>
    <n v="695.74"/>
    <n v="0"/>
    <n v="12523.32"/>
    <n v="0"/>
    <n v="12523.32"/>
    <x v="0"/>
    <s v="ID is present"/>
    <s v="Low"/>
    <s v="Grace Chen"/>
  </r>
  <r>
    <s v="ORD-0086"/>
    <s v="SP002"/>
    <d v="2024-05-13T00:00:00"/>
    <s v="Keyboard"/>
    <s v="Accessories"/>
    <n v="19"/>
    <n v="1926.94"/>
    <n v="0.05"/>
    <n v="36611.86"/>
    <n v="1830.5930000000001"/>
    <n v="34781.267"/>
    <x v="3"/>
    <s v="ID is present"/>
    <s v="Low"/>
    <s v="Bob Martinez"/>
  </r>
  <r>
    <s v="ORD-0087"/>
    <s v="SP001"/>
    <d v="2024-02-25T00:00:00"/>
    <s v="Scanner"/>
    <s v="Office"/>
    <n v="14"/>
    <n v="724.09"/>
    <n v="0.25"/>
    <n v="10137.26"/>
    <n v="2534.3150000000001"/>
    <n v="7602.9449999999997"/>
    <x v="2"/>
    <s v="ID is present"/>
    <s v="High"/>
    <s v="Alice Johnson"/>
  </r>
  <r>
    <s v="ORD-0088"/>
    <s v="SP006"/>
    <d v="2024-08-11T00:00:00"/>
    <s v="Scanner"/>
    <s v="Office"/>
    <n v="17"/>
    <n v="275.51"/>
    <n v="0.15"/>
    <n v="4683.67"/>
    <n v="702.55049999999994"/>
    <n v="3981.1195000000002"/>
    <x v="3"/>
    <s v="ID is present"/>
    <s v="High"/>
    <s v="Frank Wilson"/>
  </r>
  <r>
    <s v="ORD-0089"/>
    <s v="SP004"/>
    <d v="2024-05-10T00:00:00"/>
    <s v="Laptop"/>
    <s v="Electronics"/>
    <n v="14"/>
    <n v="53.3"/>
    <n v="0.25"/>
    <n v="746.19999999999993"/>
    <n v="186.54999999999998"/>
    <n v="559.65"/>
    <x v="1"/>
    <s v="ID is present"/>
    <s v="High"/>
    <s v="David Kim"/>
  </r>
  <r>
    <s v="ORD-0090"/>
    <s v="SP009"/>
    <d v="2024-12-17T00:00:00"/>
    <s v="Smartphone"/>
    <s v="Electronics"/>
    <n v="7"/>
    <n v="760.23"/>
    <n v="0"/>
    <n v="5321.6100000000006"/>
    <n v="0"/>
    <n v="5321.6100000000006"/>
    <x v="2"/>
    <s v="ID is present"/>
    <s v="Low"/>
    <s v="Iris Thompson"/>
  </r>
  <r>
    <s v="ORD-0091"/>
    <s v="SP011"/>
    <d v="2024-06-18T00:00:00"/>
    <s v="Scanner"/>
    <s v="Office"/>
    <n v="11"/>
    <n v="1343.61"/>
    <n v="0"/>
    <n v="14779.71"/>
    <n v="0"/>
    <n v="14779.71"/>
    <x v="0"/>
    <s v="ID is present"/>
    <s v="Low"/>
    <s v="Karen Harris"/>
  </r>
  <r>
    <s v="ORD-0092"/>
    <s v="SP012"/>
    <d v="2024-06-02T00:00:00"/>
    <s v="Printer"/>
    <s v="Office"/>
    <n v="10"/>
    <n v="1350.44"/>
    <n v="0.05"/>
    <n v="13504.400000000001"/>
    <n v="675.22000000000014"/>
    <n v="12829.180000000002"/>
    <x v="1"/>
    <s v="ID is present"/>
    <s v="Low"/>
    <s v="Leo Martinez"/>
  </r>
  <r>
    <s v="ORD-0093"/>
    <s v="SP007"/>
    <d v="2024-12-22T00:00:00"/>
    <s v="Headset"/>
    <s v="Accessories"/>
    <n v="18"/>
    <n v="298.20999999999998"/>
    <n v="0.1"/>
    <n v="5367.78"/>
    <n v="536.77800000000002"/>
    <n v="4831.0019999999995"/>
    <x v="0"/>
    <s v="ID is present"/>
    <s v="Low"/>
    <s v="Grace Chen"/>
  </r>
  <r>
    <s v="ORD-0094"/>
    <s v="SP011"/>
    <d v="2024-07-13T00:00:00"/>
    <s v="Tablet"/>
    <s v="Electronics"/>
    <n v="6"/>
    <n v="1250.25"/>
    <n v="0.05"/>
    <n v="7501.5"/>
    <n v="375.07500000000005"/>
    <n v="7126.4250000000002"/>
    <x v="0"/>
    <s v="ID is present"/>
    <s v="Low"/>
    <s v="Karen Harris"/>
  </r>
  <r>
    <s v="ORD-0095"/>
    <s v="SP007"/>
    <d v="2024-10-07T00:00:00"/>
    <s v="USB Hub"/>
    <s v="Accessories"/>
    <n v="1"/>
    <n v="642.55999999999995"/>
    <n v="0"/>
    <n v="642.55999999999995"/>
    <n v="0"/>
    <n v="642.55999999999995"/>
    <x v="0"/>
    <s v="ID is present"/>
    <s v="Low"/>
    <s v="Grace Chen"/>
  </r>
  <r>
    <s v="ORD-0096"/>
    <s v="SP007"/>
    <d v="2024-10-23T00:00:00"/>
    <s v="Scanner"/>
    <s v="Office"/>
    <n v="11"/>
    <n v="956.73"/>
    <n v="0.1"/>
    <n v="10524.03"/>
    <n v="1052.403"/>
    <n v="9471.6270000000004"/>
    <x v="0"/>
    <s v="ID is present"/>
    <s v="Low"/>
    <s v="Grace Chen"/>
  </r>
  <r>
    <s v="ORD-0097"/>
    <s v="SP011"/>
    <d v="2024-04-19T00:00:00"/>
    <s v="Printer"/>
    <s v="Office"/>
    <n v="16"/>
    <n v="1597.78"/>
    <n v="0.25"/>
    <n v="25564.48"/>
    <n v="6391.12"/>
    <n v="19173.36"/>
    <x v="0"/>
    <s v="ID is present"/>
    <s v="High"/>
    <s v="Karen Harris"/>
  </r>
  <r>
    <s v="ORD-0098"/>
    <s v="SP012"/>
    <d v="2024-03-27T00:00:00"/>
    <s v="Tablet"/>
    <s v="Electronics"/>
    <n v="3"/>
    <n v="603.38"/>
    <n v="0.2"/>
    <n v="1810.1399999999999"/>
    <n v="362.02800000000002"/>
    <n v="1448.1119999999999"/>
    <x v="1"/>
    <s v="ID is present"/>
    <s v="High"/>
    <s v="Leo Martinez"/>
  </r>
  <r>
    <s v="ORD-0099"/>
    <s v="SP011"/>
    <d v="2024-11-13T00:00:00"/>
    <s v="Webcam"/>
    <s v="Electronics"/>
    <n v="3"/>
    <n v="1645.93"/>
    <n v="0.25"/>
    <n v="4937.79"/>
    <n v="1234.4475"/>
    <n v="3703.3424999999997"/>
    <x v="0"/>
    <s v="ID is present"/>
    <s v="High"/>
    <s v="Karen Harris"/>
  </r>
  <r>
    <s v="ORD-0100"/>
    <s v="SP004"/>
    <d v="2024-12-10T00:00:00"/>
    <s v="Headset"/>
    <s v="Accessories"/>
    <n v="8"/>
    <n v="1622.8"/>
    <n v="0"/>
    <n v="12982.4"/>
    <n v="0"/>
    <n v="12982.4"/>
    <x v="1"/>
    <s v="ID is present"/>
    <s v="Low"/>
    <s v="David Ki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A8E17-90DD-441A-9BEF-15891F66DA4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8" firstHeaderRow="0" firstDataRow="1" firstDataCol="1"/>
  <pivotFields count="13">
    <pivotField showAll="0"/>
    <pivotField showAll="0"/>
    <pivotField numFmtId="164" showAll="0"/>
    <pivotField showAll="0"/>
    <pivotField showAll="0"/>
    <pivotField showAll="0"/>
    <pivotField numFmtId="44" showAll="0"/>
    <pivotField dataField="1" numFmtId="9" showAll="0"/>
    <pivotField numFmtId="4" showAll="0"/>
    <pivotField dataField="1" numFmtId="4" showAll="0"/>
    <pivotField numFmtId="4" showAll="0"/>
    <pivotField axis="axisRow" showAll="0">
      <items count="5">
        <item x="0"/>
        <item x="2"/>
        <item x="3"/>
        <item x="1"/>
        <item t="default"/>
      </items>
    </pivotField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 Amount ($)" fld="9" baseField="0" baseItem="0" numFmtId="4"/>
    <dataField name="Average of Discount %" fld="7" subtotal="average" baseField="0" baseItem="0" numFmtId="9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063D6-6EFC-4198-915B-CA77446AC2A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N22" firstHeaderRow="1" firstDataRow="4" firstDataCol="1"/>
  <pivotFields count="16">
    <pivotField showAll="0"/>
    <pivotField showAll="0"/>
    <pivotField axis="axisCol" numFmtId="164" showAll="0">
      <items count="88">
        <item x="45"/>
        <item x="43"/>
        <item x="2"/>
        <item x="70"/>
        <item x="20"/>
        <item x="62"/>
        <item x="40"/>
        <item x="36"/>
        <item x="16"/>
        <item x="73"/>
        <item x="37"/>
        <item x="42"/>
        <item x="30"/>
        <item x="10"/>
        <item x="1"/>
        <item x="41"/>
        <item x="0"/>
        <item x="31"/>
        <item x="18"/>
        <item x="57"/>
        <item x="27"/>
        <item x="11"/>
        <item x="85"/>
        <item x="50"/>
        <item x="47"/>
        <item x="44"/>
        <item x="72"/>
        <item x="9"/>
        <item x="15"/>
        <item x="54"/>
        <item x="13"/>
        <item x="35"/>
        <item x="68"/>
        <item x="77"/>
        <item x="75"/>
        <item x="19"/>
        <item x="23"/>
        <item x="4"/>
        <item x="46"/>
        <item x="80"/>
        <item x="29"/>
        <item x="53"/>
        <item x="79"/>
        <item x="63"/>
        <item x="61"/>
        <item x="56"/>
        <item x="8"/>
        <item x="67"/>
        <item x="7"/>
        <item x="82"/>
        <item x="51"/>
        <item x="69"/>
        <item x="5"/>
        <item x="39"/>
        <item x="76"/>
        <item x="64"/>
        <item x="24"/>
        <item x="55"/>
        <item x="71"/>
        <item x="22"/>
        <item x="38"/>
        <item x="28"/>
        <item x="49"/>
        <item x="25"/>
        <item x="32"/>
        <item x="33"/>
        <item x="48"/>
        <item x="83"/>
        <item x="60"/>
        <item x="14"/>
        <item x="3"/>
        <item x="84"/>
        <item x="66"/>
        <item x="6"/>
        <item x="52"/>
        <item x="26"/>
        <item x="34"/>
        <item x="58"/>
        <item x="17"/>
        <item x="59"/>
        <item x="86"/>
        <item x="74"/>
        <item x="21"/>
        <item x="12"/>
        <item x="78"/>
        <item x="65"/>
        <item x="81"/>
        <item t="default"/>
      </items>
    </pivotField>
    <pivotField axis="axisRow" showAll="0">
      <items count="16">
        <item x="4"/>
        <item x="8"/>
        <item x="6"/>
        <item x="9"/>
        <item x="0"/>
        <item x="2"/>
        <item x="3"/>
        <item x="13"/>
        <item x="14"/>
        <item x="7"/>
        <item x="12"/>
        <item x="11"/>
        <item x="1"/>
        <item x="10"/>
        <item x="5"/>
        <item t="default"/>
      </items>
    </pivotField>
    <pivotField showAll="0"/>
    <pivotField showAll="0"/>
    <pivotField numFmtId="44" showAll="0"/>
    <pivotField numFmtId="9" showAll="0"/>
    <pivotField numFmtId="4" showAll="0"/>
    <pivotField numFmtId="4" showAll="0"/>
    <pivotField dataField="1" numFmtId="4" showAll="0"/>
    <pivotField showAll="0">
      <items count="5">
        <item x="0"/>
        <item x="2"/>
        <item x="3"/>
        <item x="1"/>
        <item t="default"/>
      </items>
    </pivotField>
    <pivotField showAll="0"/>
    <pivotField showAll="0">
      <items count="13">
        <item x="1"/>
        <item x="0"/>
        <item x="8"/>
        <item x="7"/>
        <item x="3"/>
        <item x="11"/>
        <item x="6"/>
        <item x="4"/>
        <item x="10"/>
        <item x="2"/>
        <item x="5"/>
        <item x="9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3">
    <field x="15"/>
    <field x="14"/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Amount ($)" fld="10" baseField="0" baseItem="0" numFmtId="4"/>
  </dataFields>
  <formats count="72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13" type="button" dataOnly="0" labelOnly="1" outline="0"/>
    </format>
    <format dxfId="67">
      <pivotArea field="-2" type="button" dataOnly="0" labelOnly="1" outline="0" axis="axisValues" fieldPosition="0"/>
    </format>
    <format dxfId="66">
      <pivotArea type="topRight" dataOnly="0" labelOnly="1" outline="0" fieldPosition="0"/>
    </format>
    <format dxfId="65">
      <pivotArea field="3" type="button" dataOnly="0" labelOnly="1" outline="0" axis="axisRow" fieldPosition="0"/>
    </format>
    <format dxfId="64">
      <pivotArea dataOnly="0" labelOnly="1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13" type="button" dataOnly="0" labelOnly="1" outline="0"/>
    </format>
    <format dxfId="58">
      <pivotArea field="-2" type="button" dataOnly="0" labelOnly="1" outline="0" axis="axisValues" fieldPosition="0"/>
    </format>
    <format dxfId="57">
      <pivotArea type="topRight" dataOnly="0" labelOnly="1" outline="0" fieldPosition="0"/>
    </format>
    <format dxfId="56">
      <pivotArea field="3" type="button" dataOnly="0" labelOnly="1" outline="0" axis="axisRow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grandRow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13" type="button" dataOnly="0" labelOnly="1" outline="0"/>
    </format>
    <format dxfId="49">
      <pivotArea field="-2" type="button" dataOnly="0" labelOnly="1" outline="0" axis="axisValues" fieldPosition="0"/>
    </format>
    <format dxfId="48">
      <pivotArea type="topRight" dataOnly="0" labelOnly="1" outline="0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3" type="button" dataOnly="0" labelOnly="1" outline="0"/>
    </format>
    <format dxfId="40">
      <pivotArea field="-2" type="button" dataOnly="0" labelOnly="1" outline="0" axis="axisValues" fieldPosition="0"/>
    </format>
    <format dxfId="39">
      <pivotArea type="topRight" dataOnly="0" labelOnly="1" outline="0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3" type="button" dataOnly="0" labelOnly="1" outline="0"/>
    </format>
    <format dxfId="31">
      <pivotArea field="-2" type="button" dataOnly="0" labelOnly="1" outline="0" axis="axisValues" fieldPosition="0"/>
    </format>
    <format dxfId="30">
      <pivotArea type="topRight" dataOnly="0" labelOnly="1" outline="0" fieldPosition="0"/>
    </format>
    <format dxfId="29">
      <pivotArea field="3" type="button" dataOnly="0" labelOnly="1" outline="0" axis="axisRow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grandRow="1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13" type="button" dataOnly="0" labelOnly="1" outline="0"/>
    </format>
    <format dxfId="22">
      <pivotArea field="-2" type="button" dataOnly="0" labelOnly="1" outline="0" axis="axisValues" fieldPosition="0"/>
    </format>
    <format dxfId="21">
      <pivotArea type="topRight" dataOnly="0" labelOnly="1" outline="0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3" type="button" dataOnly="0" labelOnly="1" outline="0"/>
    </format>
    <format dxfId="13">
      <pivotArea field="-2" type="button" dataOnly="0" labelOnly="1" outline="0" axis="axisValues" fieldPosition="0"/>
    </format>
    <format dxfId="12">
      <pivotArea type="topRight" dataOnly="0" labelOnly="1" outline="0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13" type="button" dataOnly="0" labelOnly="1" outline="0"/>
    </format>
    <format dxfId="4">
      <pivotArea field="-2" type="button" dataOnly="0" labelOnly="1" outline="0" axis="axisValues" fieldPosition="0"/>
    </format>
    <format dxfId="3">
      <pivotArea type="topRight" dataOnly="0" labelOnly="1" outline="0" fieldPosition="0"/>
    </format>
    <format dxfId="2">
      <pivotArea field="3" type="button" dataOnly="0" labelOnly="1" outline="0" axis="axisRow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Row="1" outline="0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7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3929D-9774-4897-9C82-143B8917810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25:B38" firstHeaderRow="1" firstDataRow="1" firstDataCol="1"/>
  <pivotFields count="16">
    <pivotField showAll="0"/>
    <pivotField showAll="0"/>
    <pivotField numFmtId="164" showAll="0">
      <items count="88">
        <item x="45"/>
        <item x="43"/>
        <item x="2"/>
        <item x="70"/>
        <item x="20"/>
        <item x="62"/>
        <item x="40"/>
        <item x="36"/>
        <item x="16"/>
        <item x="73"/>
        <item x="37"/>
        <item x="42"/>
        <item x="30"/>
        <item x="10"/>
        <item x="1"/>
        <item x="41"/>
        <item x="0"/>
        <item x="31"/>
        <item x="18"/>
        <item x="57"/>
        <item x="27"/>
        <item x="11"/>
        <item x="85"/>
        <item x="50"/>
        <item x="47"/>
        <item x="44"/>
        <item x="72"/>
        <item x="9"/>
        <item x="15"/>
        <item x="54"/>
        <item x="13"/>
        <item x="35"/>
        <item x="68"/>
        <item x="77"/>
        <item x="75"/>
        <item x="19"/>
        <item x="23"/>
        <item x="4"/>
        <item x="46"/>
        <item x="80"/>
        <item x="29"/>
        <item x="53"/>
        <item x="79"/>
        <item x="63"/>
        <item x="61"/>
        <item x="56"/>
        <item x="8"/>
        <item x="67"/>
        <item x="7"/>
        <item x="82"/>
        <item x="51"/>
        <item x="69"/>
        <item x="5"/>
        <item x="39"/>
        <item x="76"/>
        <item x="64"/>
        <item x="24"/>
        <item x="55"/>
        <item x="71"/>
        <item x="22"/>
        <item x="38"/>
        <item x="28"/>
        <item x="49"/>
        <item x="25"/>
        <item x="32"/>
        <item x="33"/>
        <item x="48"/>
        <item x="83"/>
        <item x="60"/>
        <item x="14"/>
        <item x="3"/>
        <item x="84"/>
        <item x="66"/>
        <item x="6"/>
        <item x="52"/>
        <item x="26"/>
        <item x="34"/>
        <item x="58"/>
        <item x="17"/>
        <item x="59"/>
        <item x="86"/>
        <item x="74"/>
        <item x="21"/>
        <item x="12"/>
        <item x="78"/>
        <item x="65"/>
        <item x="81"/>
        <item t="default"/>
      </items>
    </pivotField>
    <pivotField showAll="0">
      <items count="16">
        <item x="4"/>
        <item x="8"/>
        <item x="6"/>
        <item x="9"/>
        <item x="0"/>
        <item x="2"/>
        <item x="3"/>
        <item x="13"/>
        <item x="14"/>
        <item x="7"/>
        <item x="12"/>
        <item x="11"/>
        <item x="1"/>
        <item x="10"/>
        <item x="5"/>
        <item t="default"/>
      </items>
    </pivotField>
    <pivotField showAll="0"/>
    <pivotField showAll="0"/>
    <pivotField numFmtId="44" showAll="0"/>
    <pivotField numFmtId="9" showAll="0"/>
    <pivotField numFmtId="4" showAll="0"/>
    <pivotField numFmtId="4" showAll="0"/>
    <pivotField dataField="1" numFmtId="4" showAll="0"/>
    <pivotField showAll="0">
      <items count="5">
        <item x="0"/>
        <item x="2"/>
        <item x="3"/>
        <item x="1"/>
        <item t="default"/>
      </items>
    </pivotField>
    <pivotField showAll="0"/>
    <pivotField showAll="0">
      <items count="13">
        <item x="1"/>
        <item x="0"/>
        <item x="8"/>
        <item x="7"/>
        <item x="3"/>
        <item x="11"/>
        <item x="6"/>
        <item x="4"/>
        <item x="10"/>
        <item x="2"/>
        <item x="5"/>
        <item x="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Net Amount ($)" fld="10" baseField="0" baseItem="0" numFmtId="4"/>
  </dataFields>
  <formats count="64"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3" type="button" dataOnly="0" labelOnly="1" outline="0"/>
    </format>
    <format dxfId="131">
      <pivotArea field="-2" type="button" dataOnly="0" labelOnly="1" outline="0" axis="axisValues" fieldPosition="0"/>
    </format>
    <format dxfId="130">
      <pivotArea type="topRight" dataOnly="0" labelOnly="1" outline="0" fieldPosition="0"/>
    </format>
    <format dxfId="129">
      <pivotArea field="3" type="button" dataOnly="0" labelOnly="1" outline="0"/>
    </format>
    <format dxfId="128">
      <pivotArea dataOnly="0" labelOnly="1" grandRow="1" outline="0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13" type="button" dataOnly="0" labelOnly="1" outline="0"/>
    </format>
    <format dxfId="123">
      <pivotArea field="-2" type="button" dataOnly="0" labelOnly="1" outline="0" axis="axisValues" fieldPosition="0"/>
    </format>
    <format dxfId="122">
      <pivotArea type="topRight" dataOnly="0" labelOnly="1" outline="0" fieldPosition="0"/>
    </format>
    <format dxfId="121">
      <pivotArea field="3" type="button" dataOnly="0" labelOnly="1" outline="0"/>
    </format>
    <format dxfId="120">
      <pivotArea dataOnly="0" labelOnly="1" grandRow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13" type="button" dataOnly="0" labelOnly="1" outline="0"/>
    </format>
    <format dxfId="115">
      <pivotArea field="-2" type="button" dataOnly="0" labelOnly="1" outline="0" axis="axisValues" fieldPosition="0"/>
    </format>
    <format dxfId="114">
      <pivotArea type="topRight" dataOnly="0" labelOnly="1" outline="0" fieldPosition="0"/>
    </format>
    <format dxfId="113">
      <pivotArea field="3" type="button" dataOnly="0" labelOnly="1" outline="0"/>
    </format>
    <format dxfId="112">
      <pivotArea dataOnly="0" labelOnly="1" grandRow="1" outline="0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type="origin" dataOnly="0" labelOnly="1" outline="0" fieldPosition="0"/>
    </format>
    <format dxfId="108">
      <pivotArea field="13" type="button" dataOnly="0" labelOnly="1" outline="0"/>
    </format>
    <format dxfId="107">
      <pivotArea field="-2" type="button" dataOnly="0" labelOnly="1" outline="0" axis="axisValues" fieldPosition="0"/>
    </format>
    <format dxfId="106">
      <pivotArea type="topRight" dataOnly="0" labelOnly="1" outline="0" fieldPosition="0"/>
    </format>
    <format dxfId="105">
      <pivotArea field="3" type="button" dataOnly="0" labelOnly="1" outline="0"/>
    </format>
    <format dxfId="104">
      <pivotArea dataOnly="0" labelOnly="1" grandRow="1" outline="0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13" type="button" dataOnly="0" labelOnly="1" outline="0"/>
    </format>
    <format dxfId="99">
      <pivotArea field="-2" type="button" dataOnly="0" labelOnly="1" outline="0" axis="axisValues" fieldPosition="0"/>
    </format>
    <format dxfId="98">
      <pivotArea type="topRight" dataOnly="0" labelOnly="1" outline="0" fieldPosition="0"/>
    </format>
    <format dxfId="97">
      <pivotArea field="3" type="button" dataOnly="0" labelOnly="1" outline="0"/>
    </format>
    <format dxfId="96">
      <pivotArea dataOnly="0" labelOnly="1" grandRow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13" type="button" dataOnly="0" labelOnly="1" outline="0"/>
    </format>
    <format dxfId="91">
      <pivotArea field="-2" type="button" dataOnly="0" labelOnly="1" outline="0" axis="axisValues" fieldPosition="0"/>
    </format>
    <format dxfId="90">
      <pivotArea type="topRight" dataOnly="0" labelOnly="1" outline="0" fieldPosition="0"/>
    </format>
    <format dxfId="89">
      <pivotArea field="3" type="button" dataOnly="0" labelOnly="1" outline="0"/>
    </format>
    <format dxfId="88">
      <pivotArea dataOnly="0" labelOnly="1" grandRow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13" type="button" dataOnly="0" labelOnly="1" outline="0"/>
    </format>
    <format dxfId="83">
      <pivotArea field="-2" type="button" dataOnly="0" labelOnly="1" outline="0" axis="axisValues" fieldPosition="0"/>
    </format>
    <format dxfId="82">
      <pivotArea type="topRight" dataOnly="0" labelOnly="1" outline="0" fieldPosition="0"/>
    </format>
    <format dxfId="81">
      <pivotArea field="3" type="button" dataOnly="0" labelOnly="1" outline="0"/>
    </format>
    <format dxfId="80">
      <pivotArea dataOnly="0" labelOnly="1" grandRow="1" outline="0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13" type="button" dataOnly="0" labelOnly="1" outline="0"/>
    </format>
    <format dxfId="75">
      <pivotArea field="-2" type="button" dataOnly="0" labelOnly="1" outline="0" axis="axisValues" fieldPosition="0"/>
    </format>
    <format dxfId="74">
      <pivotArea type="topRight" dataOnly="0" labelOnly="1" outline="0" fieldPosition="0"/>
    </format>
    <format dxfId="73">
      <pivotArea field="3" type="button" dataOnly="0" labelOnly="1" outline="0"/>
    </format>
    <format dxfId="72">
      <pivotArea dataOnly="0" labelOnly="1" grandRow="1" outline="0" fieldPosition="0"/>
    </format>
  </format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4DAF1-6C93-4E53-91E3-689EE49DD295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9" firstHeaderRow="1" firstDataRow="1" firstDataCol="1"/>
  <pivotFields count="15">
    <pivotField showAll="0"/>
    <pivotField showAll="0"/>
    <pivotField numFmtId="164" showAll="0"/>
    <pivotField showAll="0"/>
    <pivotField showAll="0"/>
    <pivotField showAll="0"/>
    <pivotField numFmtId="44" showAll="0"/>
    <pivotField numFmtId="9" showAll="0"/>
    <pivotField numFmtId="4" showAll="0"/>
    <pivotField numFmtId="4" showAll="0"/>
    <pivotField dataField="1" numFmtId="4"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axis="axisRow" showAll="0" sortType="ascending">
      <items count="16">
        <item x="2"/>
        <item x="5"/>
        <item x="12"/>
        <item x="6"/>
        <item x="8"/>
        <item x="4"/>
        <item x="10"/>
        <item x="9"/>
        <item x="7"/>
        <item x="3"/>
        <item x="0"/>
        <item x="1"/>
        <item x="11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16">
    <i>
      <x v="13"/>
    </i>
    <i>
      <x v="9"/>
    </i>
    <i>
      <x v="5"/>
    </i>
    <i>
      <x v="12"/>
    </i>
    <i>
      <x v="6"/>
    </i>
    <i>
      <x v="7"/>
    </i>
    <i>
      <x/>
    </i>
    <i>
      <x v="14"/>
    </i>
    <i>
      <x v="11"/>
    </i>
    <i>
      <x v="8"/>
    </i>
    <i>
      <x v="1"/>
    </i>
    <i>
      <x v="3"/>
    </i>
    <i>
      <x v="2"/>
    </i>
    <i>
      <x v="4"/>
    </i>
    <i>
      <x v="10"/>
    </i>
    <i t="grand">
      <x/>
    </i>
  </rowItems>
  <colItems count="1">
    <i/>
  </colItems>
  <dataFields count="1">
    <dataField name="Sum of Net Amount ($)" fld="10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04C72-67BA-4E35-87AD-15F249898B0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" firstHeaderRow="0" firstDataRow="1" firstDataCol="0"/>
  <pivotFields count="15">
    <pivotField dataField="1" showAll="0"/>
    <pivotField showAll="0"/>
    <pivotField numFmtId="164" showAll="0"/>
    <pivotField showAll="0"/>
    <pivotField showAll="0"/>
    <pivotField dataField="1" showAll="0"/>
    <pivotField numFmtId="44" showAll="0"/>
    <pivotField dataField="1" numFmtId="9" showAll="0"/>
    <pivotField dataField="1" numFmtId="4" showAll="0"/>
    <pivotField dataField="1" numFmtId="4" showAll="0"/>
    <pivotField dataField="1" numFmtId="4"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Net Amount ($)" fld="10" baseField="0" baseItem="0" numFmtId="4"/>
    <dataField name="Sum of Order Amount ($)" fld="8" baseField="0" baseItem="0" numFmtId="4"/>
    <dataField name="Sum of Discount Amount ($)" fld="9" baseField="0" baseItem="0" numFmtId="4"/>
    <dataField name="Average of Discount %" fld="7" subtotal="average" baseField="0" baseItem="1" numFmtId="9"/>
    <dataField name="Count of Order ID" fld="0" subtotal="count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rderData" displayName="OrderData" ref="A1:O101" totalsRowShown="0" headerRowDxfId="151">
  <autoFilter ref="A1:O101" xr:uid="{00000000-0009-0000-0100-000001000000}"/>
  <tableColumns count="15">
    <tableColumn id="1" xr3:uid="{00000000-0010-0000-0100-000001000000}" name="Order ID" dataDxfId="150"/>
    <tableColumn id="2" xr3:uid="{00000000-0010-0000-0100-000002000000}" name="Salesperson ID" dataDxfId="149"/>
    <tableColumn id="3" xr3:uid="{00000000-0010-0000-0100-000003000000}" name="Order Date" dataDxfId="148"/>
    <tableColumn id="4" xr3:uid="{00000000-0010-0000-0100-000004000000}" name="Product" dataDxfId="147"/>
    <tableColumn id="5" xr3:uid="{00000000-0010-0000-0100-000005000000}" name="Category" dataDxfId="146"/>
    <tableColumn id="6" xr3:uid="{00000000-0010-0000-0100-000006000000}" name="Quantity" dataDxfId="145"/>
    <tableColumn id="7" xr3:uid="{00000000-0010-0000-0100-000007000000}" name="Unit Price ($)" dataDxfId="144"/>
    <tableColumn id="8" xr3:uid="{00000000-0010-0000-0100-000008000000}" name="Discount %" dataDxfId="143"/>
    <tableColumn id="9" xr3:uid="{00000000-0010-0000-0100-000009000000}" name="Order Amount ($)" dataDxfId="142"/>
    <tableColumn id="10" xr3:uid="{00000000-0010-0000-0100-00000A000000}" name="Discount Amount ($)" dataDxfId="141"/>
    <tableColumn id="11" xr3:uid="{00000000-0010-0000-0100-00000B000000}" name="Net Amount ($)" dataDxfId="140"/>
    <tableColumn id="12" xr3:uid="{00000000-0010-0000-0100-00000C000000}" name="Region" dataDxfId="139">
      <calculatedColumnFormula>_xlfn.XLOOKUP(B2,'Salesperson Master'!$A:$A,'Salesperson Master'!$C:$C,"Not Found")</calculatedColumnFormula>
    </tableColumn>
    <tableColumn id="13" xr3:uid="{A17BFC3B-0F45-4ABA-959E-A79DBEBDADE7}" name="Sales person ID status" dataDxfId="138">
      <calculatedColumnFormula>IF(B2="","ID not present","ID is present")</calculatedColumnFormula>
    </tableColumn>
    <tableColumn id="14" xr3:uid="{95F0F187-4097-4C68-8EE2-3B806BA5A81C}" name="Discount  category" dataDxfId="137">
      <calculatedColumnFormula>IF(H2&gt;=0.15,"High",IF(0.5&lt;=H2&lt;=0.15,"Medium","Low"))</calculatedColumnFormula>
    </tableColumn>
    <tableColumn id="16" xr3:uid="{8E41CB23-DA52-4D1C-906A-9E66CBDFF3EF}" name="Salesperson Name" dataDxfId="136">
      <calculatedColumnFormula>_xlfn.XLOOKUP(B2, 'Salesperson Master'!A:A, 'Salesperson Master'!B:B)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alespersonMaster" displayName="SalespersonMaster" ref="A1:C16" totalsRowShown="0">
  <autoFilter ref="A1:C16" xr:uid="{00000000-0009-0000-0100-000002000000}"/>
  <tableColumns count="3">
    <tableColumn id="1" xr3:uid="{00000000-0010-0000-0000-000001000000}" name="Salesperson ID"/>
    <tableColumn id="2" xr3:uid="{00000000-0010-0000-0000-000002000000}" name="Salesperson Name"/>
    <tableColumn id="3" xr3:uid="{00000000-0010-0000-0000-000003000000}" name="Reg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306B8A-1135-436E-BE7E-7E8C8CC5C875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fjNKwQwBCpaJCSJlZp-W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topLeftCell="E1" zoomScale="190" zoomScaleNormal="190" workbookViewId="0">
      <selection activeCell="G1" sqref="A1:O101"/>
    </sheetView>
  </sheetViews>
  <sheetFormatPr defaultColWidth="8.59765625" defaultRowHeight="14.65" thickBottom="1" x14ac:dyDescent="0.5"/>
  <cols>
    <col min="1" max="1" width="12" style="16" customWidth="1"/>
    <col min="2" max="2" width="16" style="16" customWidth="1"/>
    <col min="3" max="3" width="14" style="16" customWidth="1"/>
    <col min="4" max="4" width="16" style="16" customWidth="1"/>
    <col min="5" max="5" width="14" style="16" customWidth="1"/>
    <col min="6" max="6" width="10" style="16" customWidth="1"/>
    <col min="7" max="7" width="14" style="30" customWidth="1"/>
    <col min="8" max="8" width="12" style="16" customWidth="1"/>
    <col min="9" max="9" width="16" style="16" customWidth="1"/>
    <col min="10" max="10" width="18" style="16" customWidth="1"/>
    <col min="11" max="11" width="16" style="16" customWidth="1"/>
    <col min="12" max="12" width="12" style="16" customWidth="1"/>
    <col min="13" max="13" width="20" style="16" bestFit="1" customWidth="1"/>
    <col min="14" max="14" width="13.59765625" style="16" bestFit="1" customWidth="1"/>
    <col min="15" max="15" width="14.265625" style="16" bestFit="1" customWidth="1"/>
    <col min="16" max="16384" width="8.59765625" style="16"/>
  </cols>
  <sheetData>
    <row r="1" spans="1:15" ht="30" customHeight="1" thickBot="1" x14ac:dyDescent="0.5">
      <c r="A1" s="14" t="s">
        <v>37</v>
      </c>
      <c r="B1" s="14" t="s">
        <v>0</v>
      </c>
      <c r="C1" s="14" t="s">
        <v>38</v>
      </c>
      <c r="D1" s="14" t="s">
        <v>39</v>
      </c>
      <c r="E1" s="14" t="s">
        <v>40</v>
      </c>
      <c r="F1" s="14" t="s">
        <v>41</v>
      </c>
      <c r="G1" s="15" t="s">
        <v>42</v>
      </c>
      <c r="H1" s="14" t="s">
        <v>43</v>
      </c>
      <c r="I1" s="37" t="s">
        <v>44</v>
      </c>
      <c r="J1" s="37" t="s">
        <v>45</v>
      </c>
      <c r="K1" s="37" t="s">
        <v>46</v>
      </c>
      <c r="L1" s="37" t="s">
        <v>2</v>
      </c>
      <c r="M1" s="38" t="s">
        <v>172</v>
      </c>
      <c r="N1" s="39" t="s">
        <v>176</v>
      </c>
      <c r="O1" s="39" t="s">
        <v>1</v>
      </c>
    </row>
    <row r="2" spans="1:15" ht="15" customHeight="1" thickBot="1" x14ac:dyDescent="0.5">
      <c r="A2" s="17" t="s">
        <v>47</v>
      </c>
      <c r="B2" s="17" t="s">
        <v>27</v>
      </c>
      <c r="C2" s="18">
        <v>45349</v>
      </c>
      <c r="D2" s="19" t="s">
        <v>48</v>
      </c>
      <c r="E2" s="19" t="s">
        <v>49</v>
      </c>
      <c r="F2" s="19">
        <v>9</v>
      </c>
      <c r="G2" s="20">
        <v>527.54</v>
      </c>
      <c r="H2" s="21">
        <v>0</v>
      </c>
      <c r="I2" s="22">
        <f t="shared" ref="I2:I33" si="0">F2*G2</f>
        <v>4747.8599999999997</v>
      </c>
      <c r="J2" s="22">
        <f t="shared" ref="J2:J33" si="1">I2*H2</f>
        <v>0</v>
      </c>
      <c r="K2" s="22">
        <f t="shared" ref="K2:K33" si="2">I2-J2</f>
        <v>4747.8599999999997</v>
      </c>
      <c r="L2" s="23" t="str">
        <f>_xlfn.XLOOKUP(B2,'Salesperson Master'!$A:$A,'Salesperson Master'!$C:$C,"Not Found")</f>
        <v>East</v>
      </c>
      <c r="M2" s="31" t="str">
        <f t="shared" ref="M2:M65" si="3">IF(B2="","ID not present","ID is present")</f>
        <v>ID is present</v>
      </c>
      <c r="N2" s="31" t="str">
        <f t="shared" ref="N2:N33" si="4">IF(H2&gt;=0.15,"High",IF(0.5&lt;=H2&lt;=0.15,"Medium","Low"))</f>
        <v>Low</v>
      </c>
      <c r="O2" s="16" t="str">
        <f>_xlfn.XLOOKUP(B2, 'Salesperson Master'!A:A, 'Salesperson Master'!B:B)</f>
        <v>Karen Harris</v>
      </c>
    </row>
    <row r="3" spans="1:15" ht="15" customHeight="1" thickBot="1" x14ac:dyDescent="0.5">
      <c r="A3" s="24" t="s">
        <v>50</v>
      </c>
      <c r="B3" s="24" t="s">
        <v>29</v>
      </c>
      <c r="C3" s="25">
        <v>45344</v>
      </c>
      <c r="D3" s="26" t="s">
        <v>51</v>
      </c>
      <c r="E3" s="26" t="s">
        <v>49</v>
      </c>
      <c r="F3" s="26">
        <v>18</v>
      </c>
      <c r="G3" s="27">
        <v>219.53</v>
      </c>
      <c r="H3" s="28">
        <v>0.1</v>
      </c>
      <c r="I3" s="29">
        <f t="shared" si="0"/>
        <v>3951.54</v>
      </c>
      <c r="J3" s="29">
        <f t="shared" si="1"/>
        <v>395.154</v>
      </c>
      <c r="K3" s="29">
        <f t="shared" si="2"/>
        <v>3556.386</v>
      </c>
      <c r="L3" s="23" t="str">
        <f>_xlfn.XLOOKUP(B3,'Salesperson Master'!$A:$A,'Salesperson Master'!$C:$C,"Not Found")</f>
        <v>West</v>
      </c>
      <c r="M3" s="16" t="str">
        <f t="shared" si="3"/>
        <v>ID is present</v>
      </c>
      <c r="N3" s="16" t="str">
        <f t="shared" si="4"/>
        <v>Low</v>
      </c>
      <c r="O3" s="16" t="str">
        <f>_xlfn.XLOOKUP(B3, 'Salesperson Master'!A:A, 'Salesperson Master'!B:B)</f>
        <v>Leo Martinez</v>
      </c>
    </row>
    <row r="4" spans="1:15" ht="15" customHeight="1" thickBot="1" x14ac:dyDescent="0.5">
      <c r="A4" s="17" t="s">
        <v>52</v>
      </c>
      <c r="B4" s="17" t="s">
        <v>3</v>
      </c>
      <c r="C4" s="18">
        <v>45307</v>
      </c>
      <c r="D4" s="19" t="s">
        <v>53</v>
      </c>
      <c r="E4" s="19" t="s">
        <v>49</v>
      </c>
      <c r="F4" s="19">
        <v>7</v>
      </c>
      <c r="G4" s="20">
        <v>503.69</v>
      </c>
      <c r="H4" s="21">
        <v>0.15</v>
      </c>
      <c r="I4" s="22">
        <f t="shared" si="0"/>
        <v>3525.83</v>
      </c>
      <c r="J4" s="22">
        <f t="shared" si="1"/>
        <v>528.87450000000001</v>
      </c>
      <c r="K4" s="22">
        <f t="shared" si="2"/>
        <v>2996.9555</v>
      </c>
      <c r="L4" s="23" t="str">
        <f>_xlfn.XLOOKUP(B4,'Salesperson Master'!$A:$A,'Salesperson Master'!$C:$C,"Not Found")</f>
        <v>North</v>
      </c>
      <c r="M4" s="16" t="str">
        <f t="shared" si="3"/>
        <v>ID is present</v>
      </c>
      <c r="N4" s="16" t="str">
        <f t="shared" si="4"/>
        <v>High</v>
      </c>
      <c r="O4" s="16" t="str">
        <f>_xlfn.XLOOKUP(B4, 'Salesperson Master'!A:A, 'Salesperson Master'!B:B)</f>
        <v>Alice Johnson</v>
      </c>
    </row>
    <row r="5" spans="1:15" ht="15" customHeight="1" thickBot="1" x14ac:dyDescent="0.5">
      <c r="A5" s="24" t="s">
        <v>54</v>
      </c>
      <c r="B5" s="24" t="s">
        <v>3</v>
      </c>
      <c r="C5" s="25">
        <v>45579</v>
      </c>
      <c r="D5" s="26" t="s">
        <v>55</v>
      </c>
      <c r="E5" s="26" t="s">
        <v>56</v>
      </c>
      <c r="F5" s="26">
        <v>18</v>
      </c>
      <c r="G5" s="27">
        <v>868.06</v>
      </c>
      <c r="H5" s="28">
        <v>0.1</v>
      </c>
      <c r="I5" s="29">
        <f t="shared" si="0"/>
        <v>15625.079999999998</v>
      </c>
      <c r="J5" s="29">
        <f t="shared" si="1"/>
        <v>1562.5079999999998</v>
      </c>
      <c r="K5" s="29">
        <f t="shared" si="2"/>
        <v>14062.571999999998</v>
      </c>
      <c r="L5" s="23" t="str">
        <f>_xlfn.XLOOKUP(B5,'Salesperson Master'!$A:$A,'Salesperson Master'!$C:$C,"Not Found")</f>
        <v>North</v>
      </c>
      <c r="M5" s="16" t="str">
        <f t="shared" si="3"/>
        <v>ID is present</v>
      </c>
      <c r="N5" s="16" t="str">
        <f t="shared" si="4"/>
        <v>Low</v>
      </c>
      <c r="O5" s="16" t="str">
        <f>_xlfn.XLOOKUP(B5, 'Salesperson Master'!A:A, 'Salesperson Master'!B:B)</f>
        <v>Alice Johnson</v>
      </c>
    </row>
    <row r="6" spans="1:15" ht="15" customHeight="1" thickBot="1" x14ac:dyDescent="0.5">
      <c r="A6" s="17" t="s">
        <v>57</v>
      </c>
      <c r="B6" s="17" t="s">
        <v>25</v>
      </c>
      <c r="C6" s="18">
        <v>45434</v>
      </c>
      <c r="D6" s="19" t="s">
        <v>58</v>
      </c>
      <c r="E6" s="19" t="s">
        <v>56</v>
      </c>
      <c r="F6" s="19">
        <v>1</v>
      </c>
      <c r="G6" s="20">
        <v>1529.67</v>
      </c>
      <c r="H6" s="21">
        <v>0</v>
      </c>
      <c r="I6" s="22">
        <f t="shared" si="0"/>
        <v>1529.67</v>
      </c>
      <c r="J6" s="22">
        <f t="shared" si="1"/>
        <v>0</v>
      </c>
      <c r="K6" s="22">
        <f t="shared" si="2"/>
        <v>1529.67</v>
      </c>
      <c r="L6" s="23" t="str">
        <f>_xlfn.XLOOKUP(B6,'Salesperson Master'!$A:$A,'Salesperson Master'!$C:$C,"Not Found")</f>
        <v>South</v>
      </c>
      <c r="M6" s="16" t="str">
        <f t="shared" si="3"/>
        <v>ID is present</v>
      </c>
      <c r="N6" s="16" t="str">
        <f t="shared" si="4"/>
        <v>Low</v>
      </c>
      <c r="O6" s="16" t="str">
        <f>_xlfn.XLOOKUP(B6, 'Salesperson Master'!A:A, 'Salesperson Master'!B:B)</f>
        <v>James White</v>
      </c>
    </row>
    <row r="7" spans="1:15" ht="15" customHeight="1" thickBot="1" x14ac:dyDescent="0.5">
      <c r="A7" s="24" t="s">
        <v>59</v>
      </c>
      <c r="B7" s="24" t="s">
        <v>29</v>
      </c>
      <c r="C7" s="25">
        <v>45508</v>
      </c>
      <c r="D7" s="26" t="s">
        <v>60</v>
      </c>
      <c r="E7" s="26" t="s">
        <v>49</v>
      </c>
      <c r="F7" s="26">
        <v>9</v>
      </c>
      <c r="G7" s="27">
        <v>353.19</v>
      </c>
      <c r="H7" s="28">
        <v>0.25</v>
      </c>
      <c r="I7" s="29">
        <f t="shared" si="0"/>
        <v>3178.71</v>
      </c>
      <c r="J7" s="29">
        <f t="shared" si="1"/>
        <v>794.67750000000001</v>
      </c>
      <c r="K7" s="29">
        <f t="shared" si="2"/>
        <v>2384.0325000000003</v>
      </c>
      <c r="L7" s="23" t="str">
        <f>_xlfn.XLOOKUP(B7,'Salesperson Master'!$A:$A,'Salesperson Master'!$C:$C,"Not Found")</f>
        <v>West</v>
      </c>
      <c r="M7" s="16" t="str">
        <f t="shared" si="3"/>
        <v>ID is present</v>
      </c>
      <c r="N7" s="16" t="str">
        <f t="shared" si="4"/>
        <v>High</v>
      </c>
      <c r="O7" s="16" t="str">
        <f>_xlfn.XLOOKUP(B7, 'Salesperson Master'!A:A, 'Salesperson Master'!B:B)</f>
        <v>Leo Martinez</v>
      </c>
    </row>
    <row r="8" spans="1:15" ht="15" customHeight="1" thickBot="1" x14ac:dyDescent="0.5">
      <c r="A8" s="17" t="s">
        <v>61</v>
      </c>
      <c r="B8" s="17" t="s">
        <v>17</v>
      </c>
      <c r="C8" s="18">
        <v>45344</v>
      </c>
      <c r="D8" s="19" t="s">
        <v>53</v>
      </c>
      <c r="E8" s="19" t="s">
        <v>49</v>
      </c>
      <c r="F8" s="19">
        <v>13</v>
      </c>
      <c r="G8" s="20">
        <v>238.6</v>
      </c>
      <c r="H8" s="21">
        <v>0.25</v>
      </c>
      <c r="I8" s="22">
        <f t="shared" si="0"/>
        <v>3101.7999999999997</v>
      </c>
      <c r="J8" s="22">
        <f t="shared" si="1"/>
        <v>775.44999999999993</v>
      </c>
      <c r="K8" s="22">
        <f t="shared" si="2"/>
        <v>2326.35</v>
      </c>
      <c r="L8" s="23" t="str">
        <f>_xlfn.XLOOKUP(B8,'Salesperson Master'!$A:$A,'Salesperson Master'!$C:$C,"Not Found")</f>
        <v>South</v>
      </c>
      <c r="M8" s="16" t="str">
        <f t="shared" si="3"/>
        <v>ID is present</v>
      </c>
      <c r="N8" s="16" t="str">
        <f t="shared" si="4"/>
        <v>High</v>
      </c>
      <c r="O8" s="16" t="str">
        <f>_xlfn.XLOOKUP(B8, 'Salesperson Master'!A:A, 'Salesperson Master'!B:B)</f>
        <v>Frank Wilson</v>
      </c>
    </row>
    <row r="9" spans="1:15" ht="15" customHeight="1" thickBot="1" x14ac:dyDescent="0.5">
      <c r="A9" s="24" t="s">
        <v>62</v>
      </c>
      <c r="B9" s="24" t="s">
        <v>17</v>
      </c>
      <c r="C9" s="25">
        <v>45601</v>
      </c>
      <c r="D9" s="26" t="s">
        <v>63</v>
      </c>
      <c r="E9" s="26" t="s">
        <v>56</v>
      </c>
      <c r="F9" s="26">
        <v>2</v>
      </c>
      <c r="G9" s="27">
        <v>1472.98</v>
      </c>
      <c r="H9" s="28">
        <v>0.15</v>
      </c>
      <c r="I9" s="29">
        <f t="shared" si="0"/>
        <v>2945.96</v>
      </c>
      <c r="J9" s="29">
        <f t="shared" si="1"/>
        <v>441.89400000000001</v>
      </c>
      <c r="K9" s="29">
        <f t="shared" si="2"/>
        <v>2504.0659999999998</v>
      </c>
      <c r="L9" s="23" t="str">
        <f>_xlfn.XLOOKUP(B9,'Salesperson Master'!$A:$A,'Salesperson Master'!$C:$C,"Not Found")</f>
        <v>South</v>
      </c>
      <c r="M9" s="16" t="str">
        <f t="shared" si="3"/>
        <v>ID is present</v>
      </c>
      <c r="N9" s="16" t="str">
        <f t="shared" si="4"/>
        <v>High</v>
      </c>
      <c r="O9" s="16" t="str">
        <f>_xlfn.XLOOKUP(B9, 'Salesperson Master'!A:A, 'Salesperson Master'!B:B)</f>
        <v>Frank Wilson</v>
      </c>
    </row>
    <row r="10" spans="1:15" ht="15" customHeight="1" thickBot="1" x14ac:dyDescent="0.5">
      <c r="A10" s="17" t="s">
        <v>64</v>
      </c>
      <c r="B10" s="17" t="s">
        <v>6</v>
      </c>
      <c r="C10" s="18">
        <v>45485</v>
      </c>
      <c r="D10" s="19" t="s">
        <v>53</v>
      </c>
      <c r="E10" s="19" t="s">
        <v>49</v>
      </c>
      <c r="F10" s="19">
        <v>18</v>
      </c>
      <c r="G10" s="20">
        <v>621.70000000000005</v>
      </c>
      <c r="H10" s="21">
        <v>0.2</v>
      </c>
      <c r="I10" s="22">
        <f t="shared" si="0"/>
        <v>11190.6</v>
      </c>
      <c r="J10" s="22">
        <f t="shared" si="1"/>
        <v>2238.1200000000003</v>
      </c>
      <c r="K10" s="22">
        <f t="shared" si="2"/>
        <v>8952.48</v>
      </c>
      <c r="L10" s="23" t="str">
        <f>_xlfn.XLOOKUP(B10,'Salesperson Master'!$A:$A,'Salesperson Master'!$C:$C,"Not Found")</f>
        <v>South</v>
      </c>
      <c r="M10" s="16" t="str">
        <f t="shared" si="3"/>
        <v>ID is present</v>
      </c>
      <c r="N10" s="16" t="str">
        <f t="shared" si="4"/>
        <v>High</v>
      </c>
      <c r="O10" s="16" t="str">
        <f>_xlfn.XLOOKUP(B10, 'Salesperson Master'!A:A, 'Salesperson Master'!B:B)</f>
        <v>Bob Martinez</v>
      </c>
    </row>
    <row r="11" spans="1:15" ht="15" customHeight="1" thickBot="1" x14ac:dyDescent="0.5">
      <c r="A11" s="24" t="s">
        <v>65</v>
      </c>
      <c r="B11" s="24" t="s">
        <v>25</v>
      </c>
      <c r="C11" s="25">
        <v>45477</v>
      </c>
      <c r="D11" s="26" t="s">
        <v>66</v>
      </c>
      <c r="E11" s="26" t="s">
        <v>67</v>
      </c>
      <c r="F11" s="26">
        <v>7</v>
      </c>
      <c r="G11" s="27">
        <v>1423.92</v>
      </c>
      <c r="H11" s="28">
        <v>0</v>
      </c>
      <c r="I11" s="29">
        <f t="shared" si="0"/>
        <v>9967.44</v>
      </c>
      <c r="J11" s="29">
        <f t="shared" si="1"/>
        <v>0</v>
      </c>
      <c r="K11" s="29">
        <f t="shared" si="2"/>
        <v>9967.44</v>
      </c>
      <c r="L11" s="23" t="str">
        <f>_xlfn.XLOOKUP(B11,'Salesperson Master'!$A:$A,'Salesperson Master'!$C:$C,"Not Found")</f>
        <v>South</v>
      </c>
      <c r="M11" s="16" t="str">
        <f t="shared" si="3"/>
        <v>ID is present</v>
      </c>
      <c r="N11" s="16" t="str">
        <f t="shared" si="4"/>
        <v>Low</v>
      </c>
      <c r="O11" s="16" t="str">
        <f>_xlfn.XLOOKUP(B11, 'Salesperson Master'!A:A, 'Salesperson Master'!B:B)</f>
        <v>James White</v>
      </c>
    </row>
    <row r="12" spans="1:15" ht="15" customHeight="1" thickBot="1" x14ac:dyDescent="0.5">
      <c r="A12" s="17" t="s">
        <v>68</v>
      </c>
      <c r="B12" s="17" t="s">
        <v>27</v>
      </c>
      <c r="C12" s="18">
        <v>45408</v>
      </c>
      <c r="D12" s="19" t="s">
        <v>58</v>
      </c>
      <c r="E12" s="19" t="s">
        <v>56</v>
      </c>
      <c r="F12" s="19">
        <v>10</v>
      </c>
      <c r="G12" s="20">
        <v>1971.18</v>
      </c>
      <c r="H12" s="21">
        <v>0.25</v>
      </c>
      <c r="I12" s="22">
        <f t="shared" si="0"/>
        <v>19711.8</v>
      </c>
      <c r="J12" s="22">
        <f t="shared" si="1"/>
        <v>4927.95</v>
      </c>
      <c r="K12" s="22">
        <f t="shared" si="2"/>
        <v>14783.849999999999</v>
      </c>
      <c r="L12" s="23" t="str">
        <f>_xlfn.XLOOKUP(B12,'Salesperson Master'!$A:$A,'Salesperson Master'!$C:$C,"Not Found")</f>
        <v>East</v>
      </c>
      <c r="M12" s="16" t="str">
        <f t="shared" si="3"/>
        <v>ID is present</v>
      </c>
      <c r="N12" s="16" t="str">
        <f t="shared" si="4"/>
        <v>High</v>
      </c>
      <c r="O12" s="16" t="str">
        <f>_xlfn.XLOOKUP(B12, 'Salesperson Master'!A:A, 'Salesperson Master'!B:B)</f>
        <v>Karen Harris</v>
      </c>
    </row>
    <row r="13" spans="1:15" ht="15" customHeight="1" thickBot="1" x14ac:dyDescent="0.5">
      <c r="A13" s="24" t="s">
        <v>69</v>
      </c>
      <c r="B13" s="24" t="s">
        <v>12</v>
      </c>
      <c r="C13" s="25">
        <v>45343</v>
      </c>
      <c r="D13" s="26" t="s">
        <v>70</v>
      </c>
      <c r="E13" s="26" t="s">
        <v>71</v>
      </c>
      <c r="F13" s="26">
        <v>9</v>
      </c>
      <c r="G13" s="27">
        <v>934.15</v>
      </c>
      <c r="H13" s="28">
        <v>0.25</v>
      </c>
      <c r="I13" s="29">
        <f t="shared" si="0"/>
        <v>8407.35</v>
      </c>
      <c r="J13" s="29">
        <f t="shared" si="1"/>
        <v>2101.8375000000001</v>
      </c>
      <c r="K13" s="29">
        <f t="shared" si="2"/>
        <v>6305.5125000000007</v>
      </c>
      <c r="L13" s="23" t="str">
        <f>_xlfn.XLOOKUP(B13,'Salesperson Master'!$A:$A,'Salesperson Master'!$C:$C,"Not Found")</f>
        <v>West</v>
      </c>
      <c r="M13" s="16" t="str">
        <f t="shared" si="3"/>
        <v>ID is present</v>
      </c>
      <c r="N13" s="16" t="str">
        <f t="shared" si="4"/>
        <v>High</v>
      </c>
      <c r="O13" s="16" t="str">
        <f>_xlfn.XLOOKUP(B13, 'Salesperson Master'!A:A, 'Salesperson Master'!B:B)</f>
        <v>David Kim</v>
      </c>
    </row>
    <row r="14" spans="1:15" ht="15" customHeight="1" thickBot="1" x14ac:dyDescent="0.5">
      <c r="A14" s="17" t="s">
        <v>72</v>
      </c>
      <c r="B14" s="17" t="s">
        <v>17</v>
      </c>
      <c r="C14" s="18">
        <v>45375</v>
      </c>
      <c r="D14" s="19" t="s">
        <v>60</v>
      </c>
      <c r="E14" s="19" t="s">
        <v>49</v>
      </c>
      <c r="F14" s="19">
        <v>12</v>
      </c>
      <c r="G14" s="20">
        <v>458.54</v>
      </c>
      <c r="H14" s="21">
        <v>0.05</v>
      </c>
      <c r="I14" s="22">
        <f t="shared" si="0"/>
        <v>5502.4800000000005</v>
      </c>
      <c r="J14" s="22">
        <f t="shared" si="1"/>
        <v>275.12400000000002</v>
      </c>
      <c r="K14" s="22">
        <f t="shared" si="2"/>
        <v>5227.3560000000007</v>
      </c>
      <c r="L14" s="23" t="str">
        <f>_xlfn.XLOOKUP(B14,'Salesperson Master'!$A:$A,'Salesperson Master'!$C:$C,"Not Found")</f>
        <v>South</v>
      </c>
      <c r="M14" s="16" t="str">
        <f t="shared" si="3"/>
        <v>ID is present</v>
      </c>
      <c r="N14" s="16" t="str">
        <f t="shared" si="4"/>
        <v>Low</v>
      </c>
      <c r="O14" s="16" t="str">
        <f>_xlfn.XLOOKUP(B14, 'Salesperson Master'!A:A, 'Salesperson Master'!B:B)</f>
        <v>Frank Wilson</v>
      </c>
    </row>
    <row r="15" spans="1:15" ht="15" customHeight="1" thickBot="1" x14ac:dyDescent="0.5">
      <c r="A15" s="24" t="s">
        <v>73</v>
      </c>
      <c r="B15" s="24" t="s">
        <v>29</v>
      </c>
      <c r="C15" s="25">
        <v>45641</v>
      </c>
      <c r="D15" s="26" t="s">
        <v>51</v>
      </c>
      <c r="E15" s="26" t="s">
        <v>49</v>
      </c>
      <c r="F15" s="26">
        <v>3</v>
      </c>
      <c r="G15" s="27">
        <v>1237.81</v>
      </c>
      <c r="H15" s="28">
        <v>0</v>
      </c>
      <c r="I15" s="29">
        <f t="shared" si="0"/>
        <v>3713.43</v>
      </c>
      <c r="J15" s="29">
        <f t="shared" si="1"/>
        <v>0</v>
      </c>
      <c r="K15" s="29">
        <f t="shared" si="2"/>
        <v>3713.43</v>
      </c>
      <c r="L15" s="23" t="str">
        <f>_xlfn.XLOOKUP(B15,'Salesperson Master'!$A:$A,'Salesperson Master'!$C:$C,"Not Found")</f>
        <v>West</v>
      </c>
      <c r="M15" s="16" t="str">
        <f t="shared" si="3"/>
        <v>ID is present</v>
      </c>
      <c r="N15" s="16" t="str">
        <f t="shared" si="4"/>
        <v>Low</v>
      </c>
      <c r="O15" s="16" t="str">
        <f>_xlfn.XLOOKUP(B15, 'Salesperson Master'!A:A, 'Salesperson Master'!B:B)</f>
        <v>Leo Martinez</v>
      </c>
    </row>
    <row r="16" spans="1:15" ht="15" customHeight="1" thickBot="1" x14ac:dyDescent="0.5">
      <c r="A16" s="17" t="s">
        <v>74</v>
      </c>
      <c r="B16" s="17" t="s">
        <v>23</v>
      </c>
      <c r="C16" s="18">
        <v>45417</v>
      </c>
      <c r="D16" s="19" t="s">
        <v>75</v>
      </c>
      <c r="E16" s="19" t="s">
        <v>56</v>
      </c>
      <c r="F16" s="19">
        <v>15</v>
      </c>
      <c r="G16" s="20">
        <v>789.94</v>
      </c>
      <c r="H16" s="21">
        <v>0.2</v>
      </c>
      <c r="I16" s="22">
        <f t="shared" si="0"/>
        <v>11849.1</v>
      </c>
      <c r="J16" s="22">
        <f t="shared" si="1"/>
        <v>2369.8200000000002</v>
      </c>
      <c r="K16" s="22">
        <f t="shared" si="2"/>
        <v>9479.2800000000007</v>
      </c>
      <c r="L16" s="23" t="str">
        <f>_xlfn.XLOOKUP(B16,'Salesperson Master'!$A:$A,'Salesperson Master'!$C:$C,"Not Found")</f>
        <v>North</v>
      </c>
      <c r="M16" s="16" t="str">
        <f t="shared" si="3"/>
        <v>ID is present</v>
      </c>
      <c r="N16" s="16" t="str">
        <f t="shared" si="4"/>
        <v>High</v>
      </c>
      <c r="O16" s="16" t="str">
        <f>_xlfn.XLOOKUP(B16, 'Salesperson Master'!A:A, 'Salesperson Master'!B:B)</f>
        <v>Iris Thompson</v>
      </c>
    </row>
    <row r="17" spans="1:15" ht="15" customHeight="1" thickBot="1" x14ac:dyDescent="0.5">
      <c r="A17" s="24" t="s">
        <v>76</v>
      </c>
      <c r="B17" s="24" t="s">
        <v>29</v>
      </c>
      <c r="C17" s="25">
        <v>45577</v>
      </c>
      <c r="D17" s="26" t="s">
        <v>55</v>
      </c>
      <c r="E17" s="26" t="s">
        <v>56</v>
      </c>
      <c r="F17" s="26">
        <v>11</v>
      </c>
      <c r="G17" s="27">
        <v>1693.56</v>
      </c>
      <c r="H17" s="28">
        <v>0.25</v>
      </c>
      <c r="I17" s="29">
        <f t="shared" si="0"/>
        <v>18629.16</v>
      </c>
      <c r="J17" s="29">
        <f t="shared" si="1"/>
        <v>4657.29</v>
      </c>
      <c r="K17" s="29">
        <f t="shared" si="2"/>
        <v>13971.869999999999</v>
      </c>
      <c r="L17" s="23" t="str">
        <f>_xlfn.XLOOKUP(B17,'Salesperson Master'!$A:$A,'Salesperson Master'!$C:$C,"Not Found")</f>
        <v>West</v>
      </c>
      <c r="M17" s="16" t="str">
        <f t="shared" si="3"/>
        <v>ID is present</v>
      </c>
      <c r="N17" s="16" t="str">
        <f t="shared" si="4"/>
        <v>High</v>
      </c>
      <c r="O17" s="16" t="str">
        <f>_xlfn.XLOOKUP(B17, 'Salesperson Master'!A:A, 'Salesperson Master'!B:B)</f>
        <v>Leo Martinez</v>
      </c>
    </row>
    <row r="18" spans="1:15" ht="15" customHeight="1" thickBot="1" x14ac:dyDescent="0.5">
      <c r="A18" s="17" t="s">
        <v>77</v>
      </c>
      <c r="B18" s="17" t="s">
        <v>3</v>
      </c>
      <c r="C18" s="18">
        <v>45409</v>
      </c>
      <c r="D18" s="19" t="s">
        <v>78</v>
      </c>
      <c r="E18" s="19" t="s">
        <v>56</v>
      </c>
      <c r="F18" s="19">
        <v>2</v>
      </c>
      <c r="G18" s="20">
        <v>1619.84</v>
      </c>
      <c r="H18" s="21">
        <v>0.1</v>
      </c>
      <c r="I18" s="22">
        <f t="shared" si="0"/>
        <v>3239.68</v>
      </c>
      <c r="J18" s="22">
        <f t="shared" si="1"/>
        <v>323.96800000000002</v>
      </c>
      <c r="K18" s="22">
        <f t="shared" si="2"/>
        <v>2915.712</v>
      </c>
      <c r="L18" s="23" t="str">
        <f>_xlfn.XLOOKUP(B18,'Salesperson Master'!$A:$A,'Salesperson Master'!$C:$C,"Not Found")</f>
        <v>North</v>
      </c>
      <c r="M18" s="16" t="str">
        <f t="shared" si="3"/>
        <v>ID is present</v>
      </c>
      <c r="N18" s="16" t="str">
        <f t="shared" si="4"/>
        <v>Low</v>
      </c>
      <c r="O18" s="16" t="str">
        <f>_xlfn.XLOOKUP(B18, 'Salesperson Master'!A:A, 'Salesperson Master'!B:B)</f>
        <v>Alice Johnson</v>
      </c>
    </row>
    <row r="19" spans="1:15" ht="15" customHeight="1" thickBot="1" x14ac:dyDescent="0.5">
      <c r="A19" s="24" t="s">
        <v>79</v>
      </c>
      <c r="B19" s="24" t="s">
        <v>15</v>
      </c>
      <c r="C19" s="25">
        <v>45325</v>
      </c>
      <c r="D19" s="26" t="s">
        <v>55</v>
      </c>
      <c r="E19" s="26" t="s">
        <v>56</v>
      </c>
      <c r="F19" s="26">
        <v>19</v>
      </c>
      <c r="G19" s="27">
        <v>1758.92</v>
      </c>
      <c r="H19" s="28">
        <v>0.05</v>
      </c>
      <c r="I19" s="29">
        <f t="shared" si="0"/>
        <v>33419.480000000003</v>
      </c>
      <c r="J19" s="29">
        <f t="shared" si="1"/>
        <v>1670.9740000000002</v>
      </c>
      <c r="K19" s="29">
        <f t="shared" si="2"/>
        <v>31748.506000000001</v>
      </c>
      <c r="L19" s="23" t="str">
        <f>_xlfn.XLOOKUP(B19,'Salesperson Master'!$A:$A,'Salesperson Master'!$C:$C,"Not Found")</f>
        <v>North</v>
      </c>
      <c r="M19" s="16" t="str">
        <f t="shared" si="3"/>
        <v>ID is present</v>
      </c>
      <c r="N19" s="16" t="str">
        <f t="shared" si="4"/>
        <v>Low</v>
      </c>
      <c r="O19" s="16" t="str">
        <f>_xlfn.XLOOKUP(B19, 'Salesperson Master'!A:A, 'Salesperson Master'!B:B)</f>
        <v>Eva Brown</v>
      </c>
    </row>
    <row r="20" spans="1:15" ht="15" customHeight="1" thickBot="1" x14ac:dyDescent="0.5">
      <c r="A20" s="17" t="s">
        <v>80</v>
      </c>
      <c r="B20" s="17" t="s">
        <v>12</v>
      </c>
      <c r="C20" s="18">
        <v>45627</v>
      </c>
      <c r="D20" s="19" t="s">
        <v>81</v>
      </c>
      <c r="E20" s="19" t="s">
        <v>71</v>
      </c>
      <c r="F20" s="19">
        <v>13</v>
      </c>
      <c r="G20" s="20">
        <v>1775.13</v>
      </c>
      <c r="H20" s="21">
        <v>0.2</v>
      </c>
      <c r="I20" s="22">
        <f t="shared" si="0"/>
        <v>23076.690000000002</v>
      </c>
      <c r="J20" s="22">
        <f t="shared" si="1"/>
        <v>4615.3380000000006</v>
      </c>
      <c r="K20" s="22">
        <f t="shared" si="2"/>
        <v>18461.352000000003</v>
      </c>
      <c r="L20" s="23" t="str">
        <f>_xlfn.XLOOKUP(B20,'Salesperson Master'!$A:$A,'Salesperson Master'!$C:$C,"Not Found")</f>
        <v>West</v>
      </c>
      <c r="M20" s="16" t="str">
        <f t="shared" si="3"/>
        <v>ID is present</v>
      </c>
      <c r="N20" s="16" t="str">
        <f t="shared" si="4"/>
        <v>High</v>
      </c>
      <c r="O20" s="16" t="str">
        <f>_xlfn.XLOOKUP(B20, 'Salesperson Master'!A:A, 'Salesperson Master'!B:B)</f>
        <v>David Kim</v>
      </c>
    </row>
    <row r="21" spans="1:15" ht="15" customHeight="1" thickBot="1" x14ac:dyDescent="0.5">
      <c r="A21" s="24" t="s">
        <v>82</v>
      </c>
      <c r="B21" s="24" t="s">
        <v>21</v>
      </c>
      <c r="C21" s="25">
        <v>45365</v>
      </c>
      <c r="D21" s="26" t="s">
        <v>63</v>
      </c>
      <c r="E21" s="26" t="s">
        <v>56</v>
      </c>
      <c r="F21" s="26">
        <v>5</v>
      </c>
      <c r="G21" s="27">
        <v>530.91999999999996</v>
      </c>
      <c r="H21" s="28">
        <v>0.15</v>
      </c>
      <c r="I21" s="29">
        <f t="shared" si="0"/>
        <v>2654.6</v>
      </c>
      <c r="J21" s="29">
        <f t="shared" si="1"/>
        <v>398.19</v>
      </c>
      <c r="K21" s="29">
        <f t="shared" si="2"/>
        <v>2256.41</v>
      </c>
      <c r="L21" s="23" t="str">
        <f>_xlfn.XLOOKUP(B21,'Salesperson Master'!$A:$A,'Salesperson Master'!$C:$C,"Not Found")</f>
        <v>West</v>
      </c>
      <c r="M21" s="16" t="str">
        <f t="shared" si="3"/>
        <v>ID is present</v>
      </c>
      <c r="N21" s="16" t="str">
        <f t="shared" si="4"/>
        <v>High</v>
      </c>
      <c r="O21" s="16" t="str">
        <f>_xlfn.XLOOKUP(B21, 'Salesperson Master'!A:A, 'Salesperson Master'!B:B)</f>
        <v>Henry Davis</v>
      </c>
    </row>
    <row r="22" spans="1:15" ht="15" customHeight="1" thickBot="1" x14ac:dyDescent="0.5">
      <c r="A22" s="17" t="s">
        <v>83</v>
      </c>
      <c r="B22" s="17" t="s">
        <v>23</v>
      </c>
      <c r="C22" s="18">
        <v>45426</v>
      </c>
      <c r="D22" s="19" t="s">
        <v>84</v>
      </c>
      <c r="E22" s="19" t="s">
        <v>49</v>
      </c>
      <c r="F22" s="19">
        <v>19</v>
      </c>
      <c r="G22" s="20">
        <v>885.45</v>
      </c>
      <c r="H22" s="21">
        <v>0.15</v>
      </c>
      <c r="I22" s="22">
        <f t="shared" si="0"/>
        <v>16823.55</v>
      </c>
      <c r="J22" s="22">
        <f t="shared" si="1"/>
        <v>2523.5324999999998</v>
      </c>
      <c r="K22" s="22">
        <f t="shared" si="2"/>
        <v>14300.0175</v>
      </c>
      <c r="L22" s="23" t="str">
        <f>_xlfn.XLOOKUP(B22,'Salesperson Master'!$A:$A,'Salesperson Master'!$C:$C,"Not Found")</f>
        <v>North</v>
      </c>
      <c r="M22" s="16" t="str">
        <f t="shared" si="3"/>
        <v>ID is present</v>
      </c>
      <c r="N22" s="16" t="str">
        <f t="shared" si="4"/>
        <v>High</v>
      </c>
      <c r="O22" s="16" t="str">
        <f>_xlfn.XLOOKUP(B22, 'Salesperson Master'!A:A, 'Salesperson Master'!B:B)</f>
        <v>Iris Thompson</v>
      </c>
    </row>
    <row r="23" spans="1:15" ht="15" customHeight="1" thickBot="1" x14ac:dyDescent="0.5">
      <c r="A23" s="24" t="s">
        <v>85</v>
      </c>
      <c r="B23" s="24" t="s">
        <v>19</v>
      </c>
      <c r="C23" s="25">
        <v>45477</v>
      </c>
      <c r="D23" s="26" t="s">
        <v>55</v>
      </c>
      <c r="E23" s="26" t="s">
        <v>56</v>
      </c>
      <c r="F23" s="26">
        <v>5</v>
      </c>
      <c r="G23" s="27">
        <v>1043.58</v>
      </c>
      <c r="H23" s="28">
        <v>0</v>
      </c>
      <c r="I23" s="29">
        <f t="shared" si="0"/>
        <v>5217.8999999999996</v>
      </c>
      <c r="J23" s="29">
        <f t="shared" si="1"/>
        <v>0</v>
      </c>
      <c r="K23" s="29">
        <f t="shared" si="2"/>
        <v>5217.8999999999996</v>
      </c>
      <c r="L23" s="23" t="str">
        <f>_xlfn.XLOOKUP(B23,'Salesperson Master'!$A:$A,'Salesperson Master'!$C:$C,"Not Found")</f>
        <v>East</v>
      </c>
      <c r="M23" s="16" t="str">
        <f t="shared" si="3"/>
        <v>ID is present</v>
      </c>
      <c r="N23" s="16" t="str">
        <f t="shared" si="4"/>
        <v>Low</v>
      </c>
      <c r="O23" s="16" t="str">
        <f>_xlfn.XLOOKUP(B23, 'Salesperson Master'!A:A, 'Salesperson Master'!B:B)</f>
        <v>Grace Chen</v>
      </c>
    </row>
    <row r="24" spans="1:15" ht="15" customHeight="1" thickBot="1" x14ac:dyDescent="0.5">
      <c r="A24" s="17" t="s">
        <v>86</v>
      </c>
      <c r="B24" s="17" t="s">
        <v>31</v>
      </c>
      <c r="C24" s="18">
        <v>45316</v>
      </c>
      <c r="D24" s="19" t="s">
        <v>78</v>
      </c>
      <c r="E24" s="19" t="s">
        <v>56</v>
      </c>
      <c r="F24" s="19">
        <v>4</v>
      </c>
      <c r="G24" s="20">
        <v>348.04</v>
      </c>
      <c r="H24" s="21">
        <v>0</v>
      </c>
      <c r="I24" s="22">
        <f t="shared" si="0"/>
        <v>1392.16</v>
      </c>
      <c r="J24" s="22">
        <f t="shared" si="1"/>
        <v>0</v>
      </c>
      <c r="K24" s="22">
        <f t="shared" si="2"/>
        <v>1392.16</v>
      </c>
      <c r="L24" s="23" t="str">
        <f>_xlfn.XLOOKUP(B24,'Salesperson Master'!$A:$A,'Salesperson Master'!$C:$C,"Not Found")</f>
        <v>North</v>
      </c>
      <c r="M24" s="16" t="str">
        <f t="shared" si="3"/>
        <v>ID is present</v>
      </c>
      <c r="N24" s="16" t="str">
        <f t="shared" si="4"/>
        <v>Low</v>
      </c>
      <c r="O24" s="16" t="str">
        <f>_xlfn.XLOOKUP(B24, 'Salesperson Master'!A:A, 'Salesperson Master'!B:B)</f>
        <v>Mia Clark</v>
      </c>
    </row>
    <row r="25" spans="1:15" ht="15" customHeight="1" thickBot="1" x14ac:dyDescent="0.5">
      <c r="A25" s="24" t="s">
        <v>87</v>
      </c>
      <c r="B25" s="24" t="s">
        <v>31</v>
      </c>
      <c r="C25" s="25">
        <v>45640</v>
      </c>
      <c r="D25" s="26" t="s">
        <v>70</v>
      </c>
      <c r="E25" s="26" t="s">
        <v>71</v>
      </c>
      <c r="F25" s="26">
        <v>20</v>
      </c>
      <c r="G25" s="27">
        <v>173.88</v>
      </c>
      <c r="H25" s="28">
        <v>0.1</v>
      </c>
      <c r="I25" s="29">
        <f t="shared" si="0"/>
        <v>3477.6</v>
      </c>
      <c r="J25" s="29">
        <f t="shared" si="1"/>
        <v>347.76</v>
      </c>
      <c r="K25" s="29">
        <f t="shared" si="2"/>
        <v>3129.84</v>
      </c>
      <c r="L25" s="23" t="str">
        <f>_xlfn.XLOOKUP(B25,'Salesperson Master'!$A:$A,'Salesperson Master'!$C:$C,"Not Found")</f>
        <v>North</v>
      </c>
      <c r="M25" s="16" t="str">
        <f t="shared" si="3"/>
        <v>ID is present</v>
      </c>
      <c r="N25" s="16" t="str">
        <f t="shared" si="4"/>
        <v>Low</v>
      </c>
      <c r="O25" s="16" t="str">
        <f>_xlfn.XLOOKUP(B25, 'Salesperson Master'!A:A, 'Salesperson Master'!B:B)</f>
        <v>Mia Clark</v>
      </c>
    </row>
    <row r="26" spans="1:15" ht="15" customHeight="1" thickBot="1" x14ac:dyDescent="0.5">
      <c r="A26" s="17" t="s">
        <v>88</v>
      </c>
      <c r="B26" s="17" t="s">
        <v>25</v>
      </c>
      <c r="C26" s="18">
        <v>45531</v>
      </c>
      <c r="D26" s="19" t="s">
        <v>89</v>
      </c>
      <c r="E26" s="19" t="s">
        <v>67</v>
      </c>
      <c r="F26" s="19">
        <v>9</v>
      </c>
      <c r="G26" s="20">
        <v>1943.6</v>
      </c>
      <c r="H26" s="21">
        <v>0.25</v>
      </c>
      <c r="I26" s="22">
        <f t="shared" si="0"/>
        <v>17492.399999999998</v>
      </c>
      <c r="J26" s="22">
        <f t="shared" si="1"/>
        <v>4373.0999999999995</v>
      </c>
      <c r="K26" s="22">
        <f t="shared" si="2"/>
        <v>13119.3</v>
      </c>
      <c r="L26" s="23" t="str">
        <f>_xlfn.XLOOKUP(B26,'Salesperson Master'!$A:$A,'Salesperson Master'!$C:$C,"Not Found")</f>
        <v>South</v>
      </c>
      <c r="M26" s="16" t="str">
        <f t="shared" si="3"/>
        <v>ID is present</v>
      </c>
      <c r="N26" s="16" t="str">
        <f t="shared" si="4"/>
        <v>High</v>
      </c>
      <c r="O26" s="16" t="str">
        <f>_xlfn.XLOOKUP(B26, 'Salesperson Master'!A:A, 'Salesperson Master'!B:B)</f>
        <v>James White</v>
      </c>
    </row>
    <row r="27" spans="1:15" ht="15" customHeight="1" thickBot="1" x14ac:dyDescent="0.5">
      <c r="A27" s="24" t="s">
        <v>90</v>
      </c>
      <c r="B27" s="24" t="s">
        <v>3</v>
      </c>
      <c r="C27" s="25">
        <v>45640</v>
      </c>
      <c r="D27" s="26" t="s">
        <v>84</v>
      </c>
      <c r="E27" s="26" t="s">
        <v>49</v>
      </c>
      <c r="F27" s="26">
        <v>4</v>
      </c>
      <c r="G27" s="27">
        <v>1379.34</v>
      </c>
      <c r="H27" s="28">
        <v>0.15</v>
      </c>
      <c r="I27" s="29">
        <f t="shared" si="0"/>
        <v>5517.36</v>
      </c>
      <c r="J27" s="29">
        <f t="shared" si="1"/>
        <v>827.60399999999993</v>
      </c>
      <c r="K27" s="29">
        <f t="shared" si="2"/>
        <v>4689.7559999999994</v>
      </c>
      <c r="L27" s="23" t="str">
        <f>_xlfn.XLOOKUP(B27,'Salesperson Master'!$A:$A,'Salesperson Master'!$C:$C,"Not Found")</f>
        <v>North</v>
      </c>
      <c r="M27" s="16" t="str">
        <f t="shared" si="3"/>
        <v>ID is present</v>
      </c>
      <c r="N27" s="16" t="str">
        <f t="shared" si="4"/>
        <v>High</v>
      </c>
      <c r="O27" s="16" t="str">
        <f>_xlfn.XLOOKUP(B27, 'Salesperson Master'!A:A, 'Salesperson Master'!B:B)</f>
        <v>Alice Johnson</v>
      </c>
    </row>
    <row r="28" spans="1:15" ht="15" customHeight="1" thickBot="1" x14ac:dyDescent="0.5">
      <c r="A28" s="17" t="s">
        <v>91</v>
      </c>
      <c r="B28" s="17" t="s">
        <v>31</v>
      </c>
      <c r="C28" s="18">
        <v>45428</v>
      </c>
      <c r="D28" s="19" t="s">
        <v>58</v>
      </c>
      <c r="E28" s="19" t="s">
        <v>56</v>
      </c>
      <c r="F28" s="19">
        <v>11</v>
      </c>
      <c r="G28" s="20">
        <v>267.52999999999997</v>
      </c>
      <c r="H28" s="21">
        <v>0.1</v>
      </c>
      <c r="I28" s="22">
        <f t="shared" si="0"/>
        <v>2942.83</v>
      </c>
      <c r="J28" s="22">
        <f t="shared" si="1"/>
        <v>294.28300000000002</v>
      </c>
      <c r="K28" s="22">
        <f t="shared" si="2"/>
        <v>2648.547</v>
      </c>
      <c r="L28" s="23" t="str">
        <f>_xlfn.XLOOKUP(B28,'Salesperson Master'!$A:$A,'Salesperson Master'!$C:$C,"Not Found")</f>
        <v>North</v>
      </c>
      <c r="M28" s="16" t="str">
        <f t="shared" si="3"/>
        <v>ID is present</v>
      </c>
      <c r="N28" s="16" t="str">
        <f t="shared" si="4"/>
        <v>Low</v>
      </c>
      <c r="O28" s="16" t="str">
        <f>_xlfn.XLOOKUP(B28, 'Salesperson Master'!A:A, 'Salesperson Master'!B:B)</f>
        <v>Mia Clark</v>
      </c>
    </row>
    <row r="29" spans="1:15" ht="15" customHeight="1" thickBot="1" x14ac:dyDescent="0.5">
      <c r="A29" s="24" t="s">
        <v>92</v>
      </c>
      <c r="B29" s="24" t="s">
        <v>9</v>
      </c>
      <c r="C29" s="25">
        <v>45524</v>
      </c>
      <c r="D29" s="26" t="s">
        <v>48</v>
      </c>
      <c r="E29" s="26" t="s">
        <v>49</v>
      </c>
      <c r="F29" s="26">
        <v>9</v>
      </c>
      <c r="G29" s="27">
        <v>1945.18</v>
      </c>
      <c r="H29" s="28">
        <v>0.25</v>
      </c>
      <c r="I29" s="29">
        <f t="shared" si="0"/>
        <v>17506.62</v>
      </c>
      <c r="J29" s="29">
        <f t="shared" si="1"/>
        <v>4376.6549999999997</v>
      </c>
      <c r="K29" s="29">
        <f t="shared" si="2"/>
        <v>13129.965</v>
      </c>
      <c r="L29" s="23" t="str">
        <f>_xlfn.XLOOKUP(B29,'Salesperson Master'!$A:$A,'Salesperson Master'!$C:$C,"Not Found")</f>
        <v>East</v>
      </c>
      <c r="M29" s="16" t="str">
        <f t="shared" si="3"/>
        <v>ID is present</v>
      </c>
      <c r="N29" s="16" t="str">
        <f t="shared" si="4"/>
        <v>High</v>
      </c>
      <c r="O29" s="16" t="str">
        <f>_xlfn.XLOOKUP(B29, 'Salesperson Master'!A:A, 'Salesperson Master'!B:B)</f>
        <v>Carol Lee</v>
      </c>
    </row>
    <row r="30" spans="1:15" ht="15" customHeight="1" thickBot="1" x14ac:dyDescent="0.5">
      <c r="A30" s="17" t="s">
        <v>93</v>
      </c>
      <c r="B30" s="17" t="s">
        <v>9</v>
      </c>
      <c r="C30" s="18">
        <v>45551</v>
      </c>
      <c r="D30" s="19" t="s">
        <v>94</v>
      </c>
      <c r="E30" s="19" t="s">
        <v>95</v>
      </c>
      <c r="F30" s="19">
        <v>4</v>
      </c>
      <c r="G30" s="20">
        <v>1747.51</v>
      </c>
      <c r="H30" s="21">
        <v>0.05</v>
      </c>
      <c r="I30" s="22">
        <f t="shared" si="0"/>
        <v>6990.04</v>
      </c>
      <c r="J30" s="22">
        <f t="shared" si="1"/>
        <v>349.50200000000001</v>
      </c>
      <c r="K30" s="22">
        <f t="shared" si="2"/>
        <v>6640.5379999999996</v>
      </c>
      <c r="L30" s="23" t="str">
        <f>_xlfn.XLOOKUP(B30,'Salesperson Master'!$A:$A,'Salesperson Master'!$C:$C,"Not Found")</f>
        <v>East</v>
      </c>
      <c r="M30" s="16" t="str">
        <f t="shared" si="3"/>
        <v>ID is present</v>
      </c>
      <c r="N30" s="16" t="str">
        <f t="shared" si="4"/>
        <v>Low</v>
      </c>
      <c r="O30" s="16" t="str">
        <f>_xlfn.XLOOKUP(B30, 'Salesperson Master'!A:A, 'Salesperson Master'!B:B)</f>
        <v>Carol Lee</v>
      </c>
    </row>
    <row r="31" spans="1:15" ht="15" customHeight="1" thickBot="1" x14ac:dyDescent="0.5">
      <c r="A31" s="24" t="s">
        <v>96</v>
      </c>
      <c r="B31" s="24" t="s">
        <v>33</v>
      </c>
      <c r="C31" s="25">
        <v>45619</v>
      </c>
      <c r="D31" s="26" t="s">
        <v>89</v>
      </c>
      <c r="E31" s="26" t="s">
        <v>67</v>
      </c>
      <c r="F31" s="26">
        <v>20</v>
      </c>
      <c r="G31" s="27">
        <v>437.88</v>
      </c>
      <c r="H31" s="28">
        <v>0.05</v>
      </c>
      <c r="I31" s="29">
        <f t="shared" si="0"/>
        <v>8757.6</v>
      </c>
      <c r="J31" s="29">
        <f t="shared" si="1"/>
        <v>437.88000000000005</v>
      </c>
      <c r="K31" s="29">
        <f t="shared" si="2"/>
        <v>8319.7200000000012</v>
      </c>
      <c r="L31" s="23" t="str">
        <f>_xlfn.XLOOKUP(B31,'Salesperson Master'!$A:$A,'Salesperson Master'!$C:$C,"Not Found")</f>
        <v>South</v>
      </c>
      <c r="M31" s="16" t="str">
        <f t="shared" si="3"/>
        <v>ID is present</v>
      </c>
      <c r="N31" s="16" t="str">
        <f t="shared" si="4"/>
        <v>Low</v>
      </c>
      <c r="O31" s="16" t="str">
        <f>_xlfn.XLOOKUP(B31, 'Salesperson Master'!A:A, 'Salesperson Master'!B:B)</f>
        <v>Noah Lewis</v>
      </c>
    </row>
    <row r="32" spans="1:15" ht="15" customHeight="1" thickBot="1" x14ac:dyDescent="0.5">
      <c r="A32" s="17" t="s">
        <v>97</v>
      </c>
      <c r="B32" s="17" t="s">
        <v>31</v>
      </c>
      <c r="C32" s="18">
        <v>45374</v>
      </c>
      <c r="D32" s="19" t="s">
        <v>89</v>
      </c>
      <c r="E32" s="19" t="s">
        <v>67</v>
      </c>
      <c r="F32" s="19">
        <v>17</v>
      </c>
      <c r="G32" s="20">
        <v>1841.06</v>
      </c>
      <c r="H32" s="21">
        <v>0.15</v>
      </c>
      <c r="I32" s="22">
        <f t="shared" si="0"/>
        <v>31298.02</v>
      </c>
      <c r="J32" s="22">
        <f t="shared" si="1"/>
        <v>4694.7029999999995</v>
      </c>
      <c r="K32" s="22">
        <f t="shared" si="2"/>
        <v>26603.317000000003</v>
      </c>
      <c r="L32" s="23" t="str">
        <f>_xlfn.XLOOKUP(B32,'Salesperson Master'!$A:$A,'Salesperson Master'!$C:$C,"Not Found")</f>
        <v>North</v>
      </c>
      <c r="M32" s="16" t="str">
        <f t="shared" si="3"/>
        <v>ID is present</v>
      </c>
      <c r="N32" s="16" t="str">
        <f t="shared" si="4"/>
        <v>High</v>
      </c>
      <c r="O32" s="16" t="str">
        <f>_xlfn.XLOOKUP(B32, 'Salesperson Master'!A:A, 'Salesperson Master'!B:B)</f>
        <v>Mia Clark</v>
      </c>
    </row>
    <row r="33" spans="1:15" ht="15" customHeight="1" thickBot="1" x14ac:dyDescent="0.5">
      <c r="A33" s="24" t="s">
        <v>98</v>
      </c>
      <c r="B33" s="24" t="s">
        <v>17</v>
      </c>
      <c r="C33" s="25">
        <v>45542</v>
      </c>
      <c r="D33" s="26" t="s">
        <v>48</v>
      </c>
      <c r="E33" s="26" t="s">
        <v>49</v>
      </c>
      <c r="F33" s="26">
        <v>4</v>
      </c>
      <c r="G33" s="27">
        <v>1861.74</v>
      </c>
      <c r="H33" s="28">
        <v>0.25</v>
      </c>
      <c r="I33" s="29">
        <f t="shared" si="0"/>
        <v>7446.96</v>
      </c>
      <c r="J33" s="29">
        <f t="shared" si="1"/>
        <v>1861.74</v>
      </c>
      <c r="K33" s="29">
        <f t="shared" si="2"/>
        <v>5585.22</v>
      </c>
      <c r="L33" s="23" t="str">
        <f>_xlfn.XLOOKUP(B33,'Salesperson Master'!$A:$A,'Salesperson Master'!$C:$C,"Not Found")</f>
        <v>South</v>
      </c>
      <c r="M33" s="16" t="str">
        <f t="shared" si="3"/>
        <v>ID is present</v>
      </c>
      <c r="N33" s="16" t="str">
        <f t="shared" si="4"/>
        <v>High</v>
      </c>
      <c r="O33" s="16" t="str">
        <f>_xlfn.XLOOKUP(B33, 'Salesperson Master'!A:A, 'Salesperson Master'!B:B)</f>
        <v>Frank Wilson</v>
      </c>
    </row>
    <row r="34" spans="1:15" ht="15" customHeight="1" thickBot="1" x14ac:dyDescent="0.5">
      <c r="A34" s="17" t="s">
        <v>99</v>
      </c>
      <c r="B34" s="17" t="s">
        <v>31</v>
      </c>
      <c r="C34" s="18">
        <v>45449</v>
      </c>
      <c r="D34" s="19" t="s">
        <v>55</v>
      </c>
      <c r="E34" s="19" t="s">
        <v>56</v>
      </c>
      <c r="F34" s="19">
        <v>2</v>
      </c>
      <c r="G34" s="20">
        <v>519.70000000000005</v>
      </c>
      <c r="H34" s="21">
        <v>0.15</v>
      </c>
      <c r="I34" s="22">
        <f t="shared" ref="I34:I65" si="5">F34*G34</f>
        <v>1039.4000000000001</v>
      </c>
      <c r="J34" s="22">
        <f t="shared" ref="J34:J65" si="6">I34*H34</f>
        <v>155.91</v>
      </c>
      <c r="K34" s="22">
        <f t="shared" ref="K34:K65" si="7">I34-J34</f>
        <v>883.49000000000012</v>
      </c>
      <c r="L34" s="23" t="str">
        <f>_xlfn.XLOOKUP(B34,'Salesperson Master'!$A:$A,'Salesperson Master'!$C:$C,"Not Found")</f>
        <v>North</v>
      </c>
      <c r="M34" s="16" t="str">
        <f t="shared" si="3"/>
        <v>ID is present</v>
      </c>
      <c r="N34" s="16" t="str">
        <f t="shared" ref="N34:N65" si="8">IF(H34&gt;=0.15,"High",IF(0.5&lt;=H34&lt;=0.15,"Medium","Low"))</f>
        <v>High</v>
      </c>
      <c r="O34" s="16" t="str">
        <f>_xlfn.XLOOKUP(B34, 'Salesperson Master'!A:A, 'Salesperson Master'!B:B)</f>
        <v>Mia Clark</v>
      </c>
    </row>
    <row r="35" spans="1:15" ht="15" customHeight="1" thickBot="1" x14ac:dyDescent="0.5">
      <c r="A35" s="24" t="s">
        <v>100</v>
      </c>
      <c r="B35" s="24" t="s">
        <v>6</v>
      </c>
      <c r="C35" s="25">
        <v>45335</v>
      </c>
      <c r="D35" s="26" t="s">
        <v>84</v>
      </c>
      <c r="E35" s="26" t="s">
        <v>49</v>
      </c>
      <c r="F35" s="26">
        <v>16</v>
      </c>
      <c r="G35" s="27">
        <v>1641.25</v>
      </c>
      <c r="H35" s="28">
        <v>0.25</v>
      </c>
      <c r="I35" s="29">
        <f t="shared" si="5"/>
        <v>26260</v>
      </c>
      <c r="J35" s="29">
        <f t="shared" si="6"/>
        <v>6565</v>
      </c>
      <c r="K35" s="29">
        <f t="shared" si="7"/>
        <v>19695</v>
      </c>
      <c r="L35" s="23" t="str">
        <f>_xlfn.XLOOKUP(B35,'Salesperson Master'!$A:$A,'Salesperson Master'!$C:$C,"Not Found")</f>
        <v>South</v>
      </c>
      <c r="M35" s="16" t="str">
        <f t="shared" si="3"/>
        <v>ID is present</v>
      </c>
      <c r="N35" s="16" t="str">
        <f t="shared" si="8"/>
        <v>High</v>
      </c>
      <c r="O35" s="16" t="str">
        <f>_xlfn.XLOOKUP(B35, 'Salesperson Master'!A:A, 'Salesperson Master'!B:B)</f>
        <v>Bob Martinez</v>
      </c>
    </row>
    <row r="36" spans="1:15" ht="15" customHeight="1" thickBot="1" x14ac:dyDescent="0.5">
      <c r="A36" s="17" t="s">
        <v>101</v>
      </c>
      <c r="B36" s="17" t="s">
        <v>23</v>
      </c>
      <c r="C36" s="18">
        <v>45356</v>
      </c>
      <c r="D36" s="19" t="s">
        <v>75</v>
      </c>
      <c r="E36" s="19" t="s">
        <v>56</v>
      </c>
      <c r="F36" s="19">
        <v>16</v>
      </c>
      <c r="G36" s="20">
        <v>1896.35</v>
      </c>
      <c r="H36" s="21">
        <v>0</v>
      </c>
      <c r="I36" s="22">
        <f t="shared" si="5"/>
        <v>30341.599999999999</v>
      </c>
      <c r="J36" s="22">
        <f t="shared" si="6"/>
        <v>0</v>
      </c>
      <c r="K36" s="22">
        <f t="shared" si="7"/>
        <v>30341.599999999999</v>
      </c>
      <c r="L36" s="23" t="str">
        <f>_xlfn.XLOOKUP(B36,'Salesperson Master'!$A:$A,'Salesperson Master'!$C:$C,"Not Found")</f>
        <v>North</v>
      </c>
      <c r="M36" s="16" t="str">
        <f t="shared" si="3"/>
        <v>ID is present</v>
      </c>
      <c r="N36" s="16" t="str">
        <f t="shared" si="8"/>
        <v>Low</v>
      </c>
      <c r="O36" s="16" t="str">
        <f>_xlfn.XLOOKUP(B36, 'Salesperson Master'!A:A, 'Salesperson Master'!B:B)</f>
        <v>Iris Thompson</v>
      </c>
    </row>
    <row r="37" spans="1:15" ht="15" customHeight="1" thickBot="1" x14ac:dyDescent="0.5">
      <c r="A37" s="24" t="s">
        <v>102</v>
      </c>
      <c r="B37" s="24" t="s">
        <v>15</v>
      </c>
      <c r="C37" s="25">
        <v>45562</v>
      </c>
      <c r="D37" s="26" t="s">
        <v>78</v>
      </c>
      <c r="E37" s="26" t="s">
        <v>56</v>
      </c>
      <c r="F37" s="26">
        <v>20</v>
      </c>
      <c r="G37" s="27">
        <v>875.12</v>
      </c>
      <c r="H37" s="28">
        <v>0</v>
      </c>
      <c r="I37" s="29">
        <f t="shared" si="5"/>
        <v>17502.400000000001</v>
      </c>
      <c r="J37" s="29">
        <f t="shared" si="6"/>
        <v>0</v>
      </c>
      <c r="K37" s="29">
        <f t="shared" si="7"/>
        <v>17502.400000000001</v>
      </c>
      <c r="L37" s="23" t="str">
        <f>_xlfn.XLOOKUP(B37,'Salesperson Master'!$A:$A,'Salesperson Master'!$C:$C,"Not Found")</f>
        <v>North</v>
      </c>
      <c r="M37" s="16" t="str">
        <f t="shared" si="3"/>
        <v>ID is present</v>
      </c>
      <c r="N37" s="16" t="str">
        <f t="shared" si="8"/>
        <v>Low</v>
      </c>
      <c r="O37" s="16" t="str">
        <f>_xlfn.XLOOKUP(B37, 'Salesperson Master'!A:A, 'Salesperson Master'!B:B)</f>
        <v>Eva Brown</v>
      </c>
    </row>
    <row r="38" spans="1:15" ht="15" customHeight="1" thickBot="1" x14ac:dyDescent="0.5">
      <c r="A38" s="17" t="s">
        <v>103</v>
      </c>
      <c r="B38" s="17" t="s">
        <v>35</v>
      </c>
      <c r="C38" s="18">
        <v>45568</v>
      </c>
      <c r="D38" s="19" t="s">
        <v>58</v>
      </c>
      <c r="E38" s="19" t="s">
        <v>56</v>
      </c>
      <c r="F38" s="19">
        <v>7</v>
      </c>
      <c r="G38" s="20">
        <v>1440.25</v>
      </c>
      <c r="H38" s="21">
        <v>0.1</v>
      </c>
      <c r="I38" s="22">
        <f t="shared" si="5"/>
        <v>10081.75</v>
      </c>
      <c r="J38" s="22">
        <f t="shared" si="6"/>
        <v>1008.1750000000001</v>
      </c>
      <c r="K38" s="22">
        <f t="shared" si="7"/>
        <v>9073.5750000000007</v>
      </c>
      <c r="L38" s="23" t="str">
        <f>_xlfn.XLOOKUP(B38,'Salesperson Master'!$A:$A,'Salesperson Master'!$C:$C,"Not Found")</f>
        <v>East</v>
      </c>
      <c r="M38" s="16" t="str">
        <f t="shared" si="3"/>
        <v>ID is present</v>
      </c>
      <c r="N38" s="16" t="str">
        <f t="shared" si="8"/>
        <v>Low</v>
      </c>
      <c r="O38" s="16" t="str">
        <f>_xlfn.XLOOKUP(B38, 'Salesperson Master'!A:A, 'Salesperson Master'!B:B)</f>
        <v>Olivia Walker</v>
      </c>
    </row>
    <row r="39" spans="1:15" ht="15" customHeight="1" thickBot="1" x14ac:dyDescent="0.5">
      <c r="A39" s="24" t="s">
        <v>104</v>
      </c>
      <c r="B39" s="24" t="s">
        <v>27</v>
      </c>
      <c r="C39" s="25">
        <v>45624</v>
      </c>
      <c r="D39" s="26" t="s">
        <v>60</v>
      </c>
      <c r="E39" s="26" t="s">
        <v>49</v>
      </c>
      <c r="F39" s="26">
        <v>15</v>
      </c>
      <c r="G39" s="27">
        <v>1804.25</v>
      </c>
      <c r="H39" s="28">
        <v>0.1</v>
      </c>
      <c r="I39" s="29">
        <f t="shared" si="5"/>
        <v>27063.75</v>
      </c>
      <c r="J39" s="29">
        <f t="shared" si="6"/>
        <v>2706.375</v>
      </c>
      <c r="K39" s="29">
        <f t="shared" si="7"/>
        <v>24357.375</v>
      </c>
      <c r="L39" s="23" t="str">
        <f>_xlfn.XLOOKUP(B39,'Salesperson Master'!$A:$A,'Salesperson Master'!$C:$C,"Not Found")</f>
        <v>East</v>
      </c>
      <c r="M39" s="16" t="str">
        <f t="shared" si="3"/>
        <v>ID is present</v>
      </c>
      <c r="N39" s="16" t="str">
        <f t="shared" si="8"/>
        <v>Low</v>
      </c>
      <c r="O39" s="16" t="str">
        <f>_xlfn.XLOOKUP(B39, 'Salesperson Master'!A:A, 'Salesperson Master'!B:B)</f>
        <v>Karen Harris</v>
      </c>
    </row>
    <row r="40" spans="1:15" ht="15" customHeight="1" thickBot="1" x14ac:dyDescent="0.5">
      <c r="A40" s="17" t="s">
        <v>105</v>
      </c>
      <c r="B40" s="17" t="s">
        <v>6</v>
      </c>
      <c r="C40" s="18">
        <v>45418</v>
      </c>
      <c r="D40" s="19" t="s">
        <v>55</v>
      </c>
      <c r="E40" s="19" t="s">
        <v>56</v>
      </c>
      <c r="F40" s="19">
        <v>3</v>
      </c>
      <c r="G40" s="20">
        <v>709.27</v>
      </c>
      <c r="H40" s="21">
        <v>0.15</v>
      </c>
      <c r="I40" s="22">
        <f t="shared" si="5"/>
        <v>2127.81</v>
      </c>
      <c r="J40" s="22">
        <f t="shared" si="6"/>
        <v>319.17149999999998</v>
      </c>
      <c r="K40" s="22">
        <f t="shared" si="7"/>
        <v>1808.6385</v>
      </c>
      <c r="L40" s="23" t="str">
        <f>_xlfn.XLOOKUP(B40,'Salesperson Master'!$A:$A,'Salesperson Master'!$C:$C,"Not Found")</f>
        <v>South</v>
      </c>
      <c r="M40" s="16" t="str">
        <f t="shared" si="3"/>
        <v>ID is present</v>
      </c>
      <c r="N40" s="16" t="str">
        <f t="shared" si="8"/>
        <v>High</v>
      </c>
      <c r="O40" s="16" t="str">
        <f>_xlfn.XLOOKUP(B40, 'Salesperson Master'!A:A, 'Salesperson Master'!B:B)</f>
        <v>Bob Martinez</v>
      </c>
    </row>
    <row r="41" spans="1:15" ht="15" customHeight="1" thickBot="1" x14ac:dyDescent="0.5">
      <c r="A41" s="24" t="s">
        <v>106</v>
      </c>
      <c r="B41" s="24" t="s">
        <v>23</v>
      </c>
      <c r="C41" s="25">
        <v>45409</v>
      </c>
      <c r="D41" s="26" t="s">
        <v>66</v>
      </c>
      <c r="E41" s="26" t="s">
        <v>67</v>
      </c>
      <c r="F41" s="26">
        <v>8</v>
      </c>
      <c r="G41" s="27">
        <v>64.02</v>
      </c>
      <c r="H41" s="28">
        <v>0.2</v>
      </c>
      <c r="I41" s="29">
        <f t="shared" si="5"/>
        <v>512.16</v>
      </c>
      <c r="J41" s="29">
        <f t="shared" si="6"/>
        <v>102.432</v>
      </c>
      <c r="K41" s="29">
        <f t="shared" si="7"/>
        <v>409.72799999999995</v>
      </c>
      <c r="L41" s="23" t="str">
        <f>_xlfn.XLOOKUP(B41,'Salesperson Master'!$A:$A,'Salesperson Master'!$C:$C,"Not Found")</f>
        <v>North</v>
      </c>
      <c r="M41" s="16" t="str">
        <f t="shared" si="3"/>
        <v>ID is present</v>
      </c>
      <c r="N41" s="16" t="str">
        <f t="shared" si="8"/>
        <v>High</v>
      </c>
      <c r="O41" s="16" t="str">
        <f>_xlfn.XLOOKUP(B41, 'Salesperson Master'!A:A, 'Salesperson Master'!B:B)</f>
        <v>Iris Thompson</v>
      </c>
    </row>
    <row r="42" spans="1:15" ht="15" customHeight="1" thickBot="1" x14ac:dyDescent="0.5">
      <c r="A42" s="17" t="s">
        <v>107</v>
      </c>
      <c r="B42" s="17" t="s">
        <v>27</v>
      </c>
      <c r="C42" s="18">
        <v>45322</v>
      </c>
      <c r="D42" s="19" t="s">
        <v>55</v>
      </c>
      <c r="E42" s="19" t="s">
        <v>56</v>
      </c>
      <c r="F42" s="19">
        <v>3</v>
      </c>
      <c r="G42" s="20">
        <v>1815.57</v>
      </c>
      <c r="H42" s="21">
        <v>0.25</v>
      </c>
      <c r="I42" s="22">
        <f t="shared" si="5"/>
        <v>5446.71</v>
      </c>
      <c r="J42" s="22">
        <f t="shared" si="6"/>
        <v>1361.6775</v>
      </c>
      <c r="K42" s="22">
        <f t="shared" si="7"/>
        <v>4085.0325000000003</v>
      </c>
      <c r="L42" s="23" t="str">
        <f>_xlfn.XLOOKUP(B42,'Salesperson Master'!$A:$A,'Salesperson Master'!$C:$C,"Not Found")</f>
        <v>East</v>
      </c>
      <c r="M42" s="16" t="str">
        <f t="shared" si="3"/>
        <v>ID is present</v>
      </c>
      <c r="N42" s="16" t="str">
        <f t="shared" si="8"/>
        <v>High</v>
      </c>
      <c r="O42" s="16" t="str">
        <f>_xlfn.XLOOKUP(B42, 'Salesperson Master'!A:A, 'Salesperson Master'!B:B)</f>
        <v>Karen Harris</v>
      </c>
    </row>
    <row r="43" spans="1:15" ht="15" customHeight="1" thickBot="1" x14ac:dyDescent="0.5">
      <c r="A43" s="24" t="s">
        <v>108</v>
      </c>
      <c r="B43" s="24" t="s">
        <v>17</v>
      </c>
      <c r="C43" s="25">
        <v>45328</v>
      </c>
      <c r="D43" s="26" t="s">
        <v>89</v>
      </c>
      <c r="E43" s="26" t="s">
        <v>67</v>
      </c>
      <c r="F43" s="26">
        <v>8</v>
      </c>
      <c r="G43" s="27">
        <v>593.03</v>
      </c>
      <c r="H43" s="28">
        <v>0.1</v>
      </c>
      <c r="I43" s="29">
        <f t="shared" si="5"/>
        <v>4744.24</v>
      </c>
      <c r="J43" s="29">
        <f t="shared" si="6"/>
        <v>474.42399999999998</v>
      </c>
      <c r="K43" s="29">
        <f t="shared" si="7"/>
        <v>4269.8159999999998</v>
      </c>
      <c r="L43" s="23" t="str">
        <f>_xlfn.XLOOKUP(B43,'Salesperson Master'!$A:$A,'Salesperson Master'!$C:$C,"Not Found")</f>
        <v>South</v>
      </c>
      <c r="M43" s="16" t="str">
        <f t="shared" si="3"/>
        <v>ID is present</v>
      </c>
      <c r="N43" s="16" t="str">
        <f t="shared" si="8"/>
        <v>Low</v>
      </c>
      <c r="O43" s="16" t="str">
        <f>_xlfn.XLOOKUP(B43, 'Salesperson Master'!A:A, 'Salesperson Master'!B:B)</f>
        <v>Frank Wilson</v>
      </c>
    </row>
    <row r="44" spans="1:15" ht="15" customHeight="1" thickBot="1" x14ac:dyDescent="0.5">
      <c r="A44" s="17" t="s">
        <v>109</v>
      </c>
      <c r="B44" s="17" t="s">
        <v>12</v>
      </c>
      <c r="C44" s="18">
        <v>45568</v>
      </c>
      <c r="D44" s="19" t="s">
        <v>75</v>
      </c>
      <c r="E44" s="19" t="s">
        <v>56</v>
      </c>
      <c r="F44" s="19">
        <v>19</v>
      </c>
      <c r="G44" s="20">
        <v>1173.6099999999999</v>
      </c>
      <c r="H44" s="21">
        <v>0</v>
      </c>
      <c r="I44" s="22">
        <f t="shared" si="5"/>
        <v>22298.589999999997</v>
      </c>
      <c r="J44" s="22">
        <f t="shared" si="6"/>
        <v>0</v>
      </c>
      <c r="K44" s="22">
        <f t="shared" si="7"/>
        <v>22298.589999999997</v>
      </c>
      <c r="L44" s="23" t="str">
        <f>_xlfn.XLOOKUP(B44,'Salesperson Master'!$A:$A,'Salesperson Master'!$C:$C,"Not Found")</f>
        <v>West</v>
      </c>
      <c r="M44" s="16" t="str">
        <f t="shared" si="3"/>
        <v>ID is present</v>
      </c>
      <c r="N44" s="16" t="str">
        <f t="shared" si="8"/>
        <v>Low</v>
      </c>
      <c r="O44" s="16" t="str">
        <f>_xlfn.XLOOKUP(B44, 'Salesperson Master'!A:A, 'Salesperson Master'!B:B)</f>
        <v>David Kim</v>
      </c>
    </row>
    <row r="45" spans="1:15" ht="15" customHeight="1" thickBot="1" x14ac:dyDescent="0.5">
      <c r="A45" s="24" t="s">
        <v>110</v>
      </c>
      <c r="B45" s="24" t="s">
        <v>31</v>
      </c>
      <c r="C45" s="25">
        <v>45534</v>
      </c>
      <c r="D45" s="26" t="s">
        <v>58</v>
      </c>
      <c r="E45" s="26" t="s">
        <v>56</v>
      </c>
      <c r="F45" s="26">
        <v>14</v>
      </c>
      <c r="G45" s="27">
        <v>421.3</v>
      </c>
      <c r="H45" s="28">
        <v>0</v>
      </c>
      <c r="I45" s="29">
        <f t="shared" si="5"/>
        <v>5898.2</v>
      </c>
      <c r="J45" s="29">
        <f t="shared" si="6"/>
        <v>0</v>
      </c>
      <c r="K45" s="29">
        <f t="shared" si="7"/>
        <v>5898.2</v>
      </c>
      <c r="L45" s="23" t="str">
        <f>_xlfn.XLOOKUP(B45,'Salesperson Master'!$A:$A,'Salesperson Master'!$C:$C,"Not Found")</f>
        <v>North</v>
      </c>
      <c r="M45" s="16" t="str">
        <f t="shared" si="3"/>
        <v>ID is present</v>
      </c>
      <c r="N45" s="16" t="str">
        <f t="shared" si="8"/>
        <v>Low</v>
      </c>
      <c r="O45" s="16" t="str">
        <f>_xlfn.XLOOKUP(B45, 'Salesperson Master'!A:A, 'Salesperson Master'!B:B)</f>
        <v>Mia Clark</v>
      </c>
    </row>
    <row r="46" spans="1:15" ht="15" customHeight="1" thickBot="1" x14ac:dyDescent="0.5">
      <c r="A46" s="17" t="s">
        <v>111</v>
      </c>
      <c r="B46" s="17" t="s">
        <v>27</v>
      </c>
      <c r="C46" s="18">
        <v>45512</v>
      </c>
      <c r="D46" s="19" t="s">
        <v>60</v>
      </c>
      <c r="E46" s="19" t="s">
        <v>49</v>
      </c>
      <c r="F46" s="19">
        <v>14</v>
      </c>
      <c r="G46" s="20">
        <v>851.65</v>
      </c>
      <c r="H46" s="21">
        <v>0.25</v>
      </c>
      <c r="I46" s="22">
        <f t="shared" si="5"/>
        <v>11923.1</v>
      </c>
      <c r="J46" s="22">
        <f t="shared" si="6"/>
        <v>2980.7750000000001</v>
      </c>
      <c r="K46" s="22">
        <f t="shared" si="7"/>
        <v>8942.3250000000007</v>
      </c>
      <c r="L46" s="23" t="str">
        <f>_xlfn.XLOOKUP(B46,'Salesperson Master'!$A:$A,'Salesperson Master'!$C:$C,"Not Found")</f>
        <v>East</v>
      </c>
      <c r="M46" s="16" t="str">
        <f t="shared" si="3"/>
        <v>ID is present</v>
      </c>
      <c r="N46" s="16" t="str">
        <f t="shared" si="8"/>
        <v>High</v>
      </c>
      <c r="O46" s="16" t="str">
        <f>_xlfn.XLOOKUP(B46, 'Salesperson Master'!A:A, 'Salesperson Master'!B:B)</f>
        <v>Karen Harris</v>
      </c>
    </row>
    <row r="47" spans="1:15" ht="15" customHeight="1" thickBot="1" x14ac:dyDescent="0.5">
      <c r="A47" s="24" t="s">
        <v>112</v>
      </c>
      <c r="B47" s="24" t="s">
        <v>29</v>
      </c>
      <c r="C47" s="25">
        <v>45319</v>
      </c>
      <c r="D47" s="26" t="s">
        <v>51</v>
      </c>
      <c r="E47" s="26" t="s">
        <v>49</v>
      </c>
      <c r="F47" s="26">
        <v>4</v>
      </c>
      <c r="G47" s="27">
        <v>168.19</v>
      </c>
      <c r="H47" s="28">
        <v>0.2</v>
      </c>
      <c r="I47" s="29">
        <f t="shared" si="5"/>
        <v>672.76</v>
      </c>
      <c r="J47" s="29">
        <f t="shared" si="6"/>
        <v>134.55199999999999</v>
      </c>
      <c r="K47" s="29">
        <f t="shared" si="7"/>
        <v>538.20799999999997</v>
      </c>
      <c r="L47" s="23" t="str">
        <f>_xlfn.XLOOKUP(B47,'Salesperson Master'!$A:$A,'Salesperson Master'!$C:$C,"Not Found")</f>
        <v>West</v>
      </c>
      <c r="M47" s="16" t="str">
        <f t="shared" si="3"/>
        <v>ID is present</v>
      </c>
      <c r="N47" s="16" t="str">
        <f t="shared" si="8"/>
        <v>High</v>
      </c>
      <c r="O47" s="16" t="str">
        <f>_xlfn.XLOOKUP(B47, 'Salesperson Master'!A:A, 'Salesperson Master'!B:B)</f>
        <v>Leo Martinez</v>
      </c>
    </row>
    <row r="48" spans="1:15" ht="15" customHeight="1" thickBot="1" x14ac:dyDescent="0.5">
      <c r="A48" s="17" t="s">
        <v>113</v>
      </c>
      <c r="B48" s="17" t="s">
        <v>17</v>
      </c>
      <c r="C48" s="18">
        <v>45347</v>
      </c>
      <c r="D48" s="19" t="s">
        <v>55</v>
      </c>
      <c r="E48" s="19" t="s">
        <v>56</v>
      </c>
      <c r="F48" s="19">
        <v>7</v>
      </c>
      <c r="G48" s="20">
        <v>420.91</v>
      </c>
      <c r="H48" s="21">
        <v>0.1</v>
      </c>
      <c r="I48" s="22">
        <f t="shared" si="5"/>
        <v>2946.3700000000003</v>
      </c>
      <c r="J48" s="22">
        <f t="shared" si="6"/>
        <v>294.63700000000006</v>
      </c>
      <c r="K48" s="22">
        <f t="shared" si="7"/>
        <v>2651.7330000000002</v>
      </c>
      <c r="L48" s="23" t="str">
        <f>_xlfn.XLOOKUP(B48,'Salesperson Master'!$A:$A,'Salesperson Master'!$C:$C,"Not Found")</f>
        <v>South</v>
      </c>
      <c r="M48" s="16" t="str">
        <f t="shared" si="3"/>
        <v>ID is present</v>
      </c>
      <c r="N48" s="16" t="str">
        <f t="shared" si="8"/>
        <v>Low</v>
      </c>
      <c r="O48" s="16" t="str">
        <f>_xlfn.XLOOKUP(B48, 'Salesperson Master'!A:A, 'Salesperson Master'!B:B)</f>
        <v>Frank Wilson</v>
      </c>
    </row>
    <row r="49" spans="1:15" ht="15" customHeight="1" thickBot="1" x14ac:dyDescent="0.5">
      <c r="A49" s="24" t="s">
        <v>114</v>
      </c>
      <c r="B49" s="24" t="s">
        <v>9</v>
      </c>
      <c r="C49" s="25">
        <v>45508</v>
      </c>
      <c r="D49" s="26" t="s">
        <v>75</v>
      </c>
      <c r="E49" s="26" t="s">
        <v>56</v>
      </c>
      <c r="F49" s="26">
        <v>9</v>
      </c>
      <c r="G49" s="27">
        <v>952.12</v>
      </c>
      <c r="H49" s="28">
        <v>0.25</v>
      </c>
      <c r="I49" s="29">
        <f t="shared" si="5"/>
        <v>8569.08</v>
      </c>
      <c r="J49" s="29">
        <f t="shared" si="6"/>
        <v>2142.27</v>
      </c>
      <c r="K49" s="29">
        <f t="shared" si="7"/>
        <v>6426.8099999999995</v>
      </c>
      <c r="L49" s="23" t="str">
        <f>_xlfn.XLOOKUP(B49,'Salesperson Master'!$A:$A,'Salesperson Master'!$C:$C,"Not Found")</f>
        <v>East</v>
      </c>
      <c r="M49" s="16" t="str">
        <f t="shared" si="3"/>
        <v>ID is present</v>
      </c>
      <c r="N49" s="16" t="str">
        <f t="shared" si="8"/>
        <v>High</v>
      </c>
      <c r="O49" s="16" t="str">
        <f>_xlfn.XLOOKUP(B49, 'Salesperson Master'!A:A, 'Salesperson Master'!B:B)</f>
        <v>Carol Lee</v>
      </c>
    </row>
    <row r="50" spans="1:15" ht="15" customHeight="1" thickBot="1" x14ac:dyDescent="0.5">
      <c r="A50" s="17" t="s">
        <v>115</v>
      </c>
      <c r="B50" s="17" t="s">
        <v>35</v>
      </c>
      <c r="C50" s="18">
        <v>45330</v>
      </c>
      <c r="D50" s="19" t="s">
        <v>81</v>
      </c>
      <c r="E50" s="19" t="s">
        <v>71</v>
      </c>
      <c r="F50" s="19">
        <v>18</v>
      </c>
      <c r="G50" s="20">
        <v>240.92</v>
      </c>
      <c r="H50" s="21">
        <v>0.2</v>
      </c>
      <c r="I50" s="22">
        <f t="shared" si="5"/>
        <v>4336.5599999999995</v>
      </c>
      <c r="J50" s="22">
        <f t="shared" si="6"/>
        <v>867.3119999999999</v>
      </c>
      <c r="K50" s="22">
        <f t="shared" si="7"/>
        <v>3469.2479999999996</v>
      </c>
      <c r="L50" s="23" t="str">
        <f>_xlfn.XLOOKUP(B50,'Salesperson Master'!$A:$A,'Salesperson Master'!$C:$C,"Not Found")</f>
        <v>East</v>
      </c>
      <c r="M50" s="16" t="str">
        <f t="shared" si="3"/>
        <v>ID is present</v>
      </c>
      <c r="N50" s="16" t="str">
        <f t="shared" si="8"/>
        <v>High</v>
      </c>
      <c r="O50" s="16" t="str">
        <f>_xlfn.XLOOKUP(B50, 'Salesperson Master'!A:A, 'Salesperson Master'!B:B)</f>
        <v>Olivia Walker</v>
      </c>
    </row>
    <row r="51" spans="1:15" ht="15" customHeight="1" thickBot="1" x14ac:dyDescent="0.5">
      <c r="A51" s="24" t="s">
        <v>116</v>
      </c>
      <c r="B51" s="24" t="s">
        <v>23</v>
      </c>
      <c r="C51" s="25">
        <v>45299</v>
      </c>
      <c r="D51" s="26" t="s">
        <v>53</v>
      </c>
      <c r="E51" s="26" t="s">
        <v>49</v>
      </c>
      <c r="F51" s="26">
        <v>8</v>
      </c>
      <c r="G51" s="27">
        <v>374.31</v>
      </c>
      <c r="H51" s="28">
        <v>0.1</v>
      </c>
      <c r="I51" s="29">
        <f t="shared" si="5"/>
        <v>2994.48</v>
      </c>
      <c r="J51" s="29">
        <f t="shared" si="6"/>
        <v>299.44800000000004</v>
      </c>
      <c r="K51" s="29">
        <f t="shared" si="7"/>
        <v>2695.0320000000002</v>
      </c>
      <c r="L51" s="23" t="str">
        <f>_xlfn.XLOOKUP(B51,'Salesperson Master'!$A:$A,'Salesperson Master'!$C:$C,"Not Found")</f>
        <v>North</v>
      </c>
      <c r="M51" s="16" t="str">
        <f t="shared" si="3"/>
        <v>ID is present</v>
      </c>
      <c r="N51" s="16" t="str">
        <f t="shared" si="8"/>
        <v>Low</v>
      </c>
      <c r="O51" s="16" t="str">
        <f>_xlfn.XLOOKUP(B51, 'Salesperson Master'!A:A, 'Salesperson Master'!B:B)</f>
        <v>Iris Thompson</v>
      </c>
    </row>
    <row r="52" spans="1:15" ht="15" customHeight="1" thickBot="1" x14ac:dyDescent="0.5">
      <c r="A52" s="17" t="s">
        <v>117</v>
      </c>
      <c r="B52" s="17" t="s">
        <v>21</v>
      </c>
      <c r="C52" s="18">
        <v>45401</v>
      </c>
      <c r="D52" s="19" t="s">
        <v>78</v>
      </c>
      <c r="E52" s="19" t="s">
        <v>56</v>
      </c>
      <c r="F52" s="19">
        <v>13</v>
      </c>
      <c r="G52" s="20">
        <v>1809.76</v>
      </c>
      <c r="H52" s="21">
        <v>0</v>
      </c>
      <c r="I52" s="22">
        <f t="shared" si="5"/>
        <v>23526.880000000001</v>
      </c>
      <c r="J52" s="22">
        <f t="shared" si="6"/>
        <v>0</v>
      </c>
      <c r="K52" s="22">
        <f t="shared" si="7"/>
        <v>23526.880000000001</v>
      </c>
      <c r="L52" s="23" t="str">
        <f>_xlfn.XLOOKUP(B52,'Salesperson Master'!$A:$A,'Salesperson Master'!$C:$C,"Not Found")</f>
        <v>West</v>
      </c>
      <c r="M52" s="16" t="str">
        <f t="shared" si="3"/>
        <v>ID is present</v>
      </c>
      <c r="N52" s="16" t="str">
        <f t="shared" si="8"/>
        <v>Low</v>
      </c>
      <c r="O52" s="16" t="str">
        <f>_xlfn.XLOOKUP(B52, 'Salesperson Master'!A:A, 'Salesperson Master'!B:B)</f>
        <v>Henry Davis</v>
      </c>
    </row>
    <row r="53" spans="1:15" ht="15" customHeight="1" thickBot="1" x14ac:dyDescent="0.5">
      <c r="A53" s="24" t="s">
        <v>118</v>
      </c>
      <c r="B53" s="24" t="s">
        <v>19</v>
      </c>
      <c r="C53" s="25">
        <v>45293</v>
      </c>
      <c r="D53" s="26" t="s">
        <v>70</v>
      </c>
      <c r="E53" s="26" t="s">
        <v>71</v>
      </c>
      <c r="F53" s="26">
        <v>9</v>
      </c>
      <c r="G53" s="27">
        <v>1856.71</v>
      </c>
      <c r="H53" s="28">
        <v>0.25</v>
      </c>
      <c r="I53" s="29">
        <f t="shared" si="5"/>
        <v>16710.39</v>
      </c>
      <c r="J53" s="29">
        <f t="shared" si="6"/>
        <v>4177.5974999999999</v>
      </c>
      <c r="K53" s="29">
        <f t="shared" si="7"/>
        <v>12532.7925</v>
      </c>
      <c r="L53" s="23" t="str">
        <f>_xlfn.XLOOKUP(B53,'Salesperson Master'!$A:$A,'Salesperson Master'!$C:$C,"Not Found")</f>
        <v>East</v>
      </c>
      <c r="M53" s="16" t="str">
        <f t="shared" si="3"/>
        <v>ID is present</v>
      </c>
      <c r="N53" s="16" t="str">
        <f t="shared" si="8"/>
        <v>High</v>
      </c>
      <c r="O53" s="16" t="str">
        <f>_xlfn.XLOOKUP(B53, 'Salesperson Master'!A:A, 'Salesperson Master'!B:B)</f>
        <v>Grace Chen</v>
      </c>
    </row>
    <row r="54" spans="1:15" ht="15" customHeight="1" thickBot="1" x14ac:dyDescent="0.5">
      <c r="A54" s="17" t="s">
        <v>119</v>
      </c>
      <c r="B54" s="17" t="s">
        <v>21</v>
      </c>
      <c r="C54" s="18">
        <v>45438</v>
      </c>
      <c r="D54" s="19" t="s">
        <v>70</v>
      </c>
      <c r="E54" s="19" t="s">
        <v>71</v>
      </c>
      <c r="F54" s="19">
        <v>18</v>
      </c>
      <c r="G54" s="20">
        <v>1340.65</v>
      </c>
      <c r="H54" s="21">
        <v>0.1</v>
      </c>
      <c r="I54" s="22">
        <f t="shared" si="5"/>
        <v>24131.7</v>
      </c>
      <c r="J54" s="22">
        <f t="shared" si="6"/>
        <v>2413.17</v>
      </c>
      <c r="K54" s="22">
        <f t="shared" si="7"/>
        <v>21718.53</v>
      </c>
      <c r="L54" s="23" t="str">
        <f>_xlfn.XLOOKUP(B54,'Salesperson Master'!$A:$A,'Salesperson Master'!$C:$C,"Not Found")</f>
        <v>West</v>
      </c>
      <c r="M54" s="16" t="str">
        <f t="shared" si="3"/>
        <v>ID is present</v>
      </c>
      <c r="N54" s="16" t="str">
        <f t="shared" si="8"/>
        <v>Low</v>
      </c>
      <c r="O54" s="16" t="str">
        <f>_xlfn.XLOOKUP(B54, 'Salesperson Master'!A:A, 'Salesperson Master'!B:B)</f>
        <v>Henry Davis</v>
      </c>
    </row>
    <row r="55" spans="1:15" ht="15" customHeight="1" thickBot="1" x14ac:dyDescent="0.5">
      <c r="A55" s="24" t="s">
        <v>120</v>
      </c>
      <c r="B55" s="24" t="s">
        <v>9</v>
      </c>
      <c r="C55" s="25">
        <v>45389</v>
      </c>
      <c r="D55" s="26" t="s">
        <v>63</v>
      </c>
      <c r="E55" s="26" t="s">
        <v>56</v>
      </c>
      <c r="F55" s="26">
        <v>7</v>
      </c>
      <c r="G55" s="27">
        <v>1938.98</v>
      </c>
      <c r="H55" s="28">
        <v>0.15</v>
      </c>
      <c r="I55" s="29">
        <f t="shared" si="5"/>
        <v>13572.86</v>
      </c>
      <c r="J55" s="29">
        <f t="shared" si="6"/>
        <v>2035.9290000000001</v>
      </c>
      <c r="K55" s="29">
        <f t="shared" si="7"/>
        <v>11536.931</v>
      </c>
      <c r="L55" s="23" t="str">
        <f>_xlfn.XLOOKUP(B55,'Salesperson Master'!$A:$A,'Salesperson Master'!$C:$C,"Not Found")</f>
        <v>East</v>
      </c>
      <c r="M55" s="16" t="str">
        <f t="shared" si="3"/>
        <v>ID is present</v>
      </c>
      <c r="N55" s="16" t="str">
        <f t="shared" si="8"/>
        <v>High</v>
      </c>
      <c r="O55" s="16" t="str">
        <f>_xlfn.XLOOKUP(B55, 'Salesperson Master'!A:A, 'Salesperson Master'!B:B)</f>
        <v>Carol Lee</v>
      </c>
    </row>
    <row r="56" spans="1:15" ht="15" customHeight="1" thickBot="1" x14ac:dyDescent="0.5">
      <c r="A56" s="17" t="s">
        <v>121</v>
      </c>
      <c r="B56" s="17" t="s">
        <v>29</v>
      </c>
      <c r="C56" s="18">
        <v>45569</v>
      </c>
      <c r="D56" s="19" t="s">
        <v>48</v>
      </c>
      <c r="E56" s="19" t="s">
        <v>49</v>
      </c>
      <c r="F56" s="19">
        <v>11</v>
      </c>
      <c r="G56" s="20">
        <v>161.47</v>
      </c>
      <c r="H56" s="21">
        <v>0.15</v>
      </c>
      <c r="I56" s="22">
        <f t="shared" si="5"/>
        <v>1776.17</v>
      </c>
      <c r="J56" s="22">
        <f t="shared" si="6"/>
        <v>266.4255</v>
      </c>
      <c r="K56" s="22">
        <f t="shared" si="7"/>
        <v>1509.7445</v>
      </c>
      <c r="L56" s="23" t="str">
        <f>_xlfn.XLOOKUP(B56,'Salesperson Master'!$A:$A,'Salesperson Master'!$C:$C,"Not Found")</f>
        <v>West</v>
      </c>
      <c r="M56" s="16" t="str">
        <f t="shared" si="3"/>
        <v>ID is present</v>
      </c>
      <c r="N56" s="16" t="str">
        <f t="shared" si="8"/>
        <v>High</v>
      </c>
      <c r="O56" s="16" t="str">
        <f>_xlfn.XLOOKUP(B56, 'Salesperson Master'!A:A, 'Salesperson Master'!B:B)</f>
        <v>Leo Martinez</v>
      </c>
    </row>
    <row r="57" spans="1:15" ht="15" customHeight="1" thickBot="1" x14ac:dyDescent="0.5">
      <c r="A57" s="24" t="s">
        <v>122</v>
      </c>
      <c r="B57" s="24" t="s">
        <v>21</v>
      </c>
      <c r="C57" s="25">
        <v>45549</v>
      </c>
      <c r="D57" s="26" t="s">
        <v>94</v>
      </c>
      <c r="E57" s="26" t="s">
        <v>95</v>
      </c>
      <c r="F57" s="26">
        <v>17</v>
      </c>
      <c r="G57" s="27">
        <v>356.99</v>
      </c>
      <c r="H57" s="28">
        <v>0.15</v>
      </c>
      <c r="I57" s="29">
        <f t="shared" si="5"/>
        <v>6068.83</v>
      </c>
      <c r="J57" s="29">
        <f t="shared" si="6"/>
        <v>910.32449999999994</v>
      </c>
      <c r="K57" s="29">
        <f t="shared" si="7"/>
        <v>5158.5055000000002</v>
      </c>
      <c r="L57" s="23" t="str">
        <f>_xlfn.XLOOKUP(B57,'Salesperson Master'!$A:$A,'Salesperson Master'!$C:$C,"Not Found")</f>
        <v>West</v>
      </c>
      <c r="M57" s="16" t="str">
        <f t="shared" si="3"/>
        <v>ID is present</v>
      </c>
      <c r="N57" s="16" t="str">
        <f t="shared" si="8"/>
        <v>High</v>
      </c>
      <c r="O57" s="16" t="str">
        <f>_xlfn.XLOOKUP(B57, 'Salesperson Master'!A:A, 'Salesperson Master'!B:B)</f>
        <v>Henry Davis</v>
      </c>
    </row>
    <row r="58" spans="1:15" ht="15" customHeight="1" thickBot="1" x14ac:dyDescent="0.5">
      <c r="A58" s="17" t="s">
        <v>123</v>
      </c>
      <c r="B58" s="17" t="s">
        <v>6</v>
      </c>
      <c r="C58" s="18">
        <v>45387</v>
      </c>
      <c r="D58" s="19" t="s">
        <v>53</v>
      </c>
      <c r="E58" s="19" t="s">
        <v>49</v>
      </c>
      <c r="F58" s="19">
        <v>20</v>
      </c>
      <c r="G58" s="20">
        <v>182.52</v>
      </c>
      <c r="H58" s="21">
        <v>0.25</v>
      </c>
      <c r="I58" s="22">
        <f t="shared" si="5"/>
        <v>3650.4</v>
      </c>
      <c r="J58" s="22">
        <f t="shared" si="6"/>
        <v>912.6</v>
      </c>
      <c r="K58" s="22">
        <f t="shared" si="7"/>
        <v>2737.8</v>
      </c>
      <c r="L58" s="23" t="str">
        <f>_xlfn.XLOOKUP(B58,'Salesperson Master'!$A:$A,'Salesperson Master'!$C:$C,"Not Found")</f>
        <v>South</v>
      </c>
      <c r="M58" s="16" t="str">
        <f t="shared" si="3"/>
        <v>ID is present</v>
      </c>
      <c r="N58" s="16" t="str">
        <f t="shared" si="8"/>
        <v>High</v>
      </c>
      <c r="O58" s="16" t="str">
        <f>_xlfn.XLOOKUP(B58, 'Salesperson Master'!A:A, 'Salesperson Master'!B:B)</f>
        <v>Bob Martinez</v>
      </c>
    </row>
    <row r="59" spans="1:15" ht="15" customHeight="1" thickBot="1" x14ac:dyDescent="0.5">
      <c r="A59" s="24" t="s">
        <v>124</v>
      </c>
      <c r="B59" s="24" t="s">
        <v>12</v>
      </c>
      <c r="C59" s="25">
        <v>45498</v>
      </c>
      <c r="D59" s="26" t="s">
        <v>53</v>
      </c>
      <c r="E59" s="26" t="s">
        <v>49</v>
      </c>
      <c r="F59" s="26">
        <v>19</v>
      </c>
      <c r="G59" s="27">
        <v>530.12</v>
      </c>
      <c r="H59" s="28">
        <v>0.15</v>
      </c>
      <c r="I59" s="29">
        <f t="shared" si="5"/>
        <v>10072.280000000001</v>
      </c>
      <c r="J59" s="29">
        <f t="shared" si="6"/>
        <v>1510.8420000000001</v>
      </c>
      <c r="K59" s="29">
        <f t="shared" si="7"/>
        <v>8561.4380000000001</v>
      </c>
      <c r="L59" s="23" t="str">
        <f>_xlfn.XLOOKUP(B59,'Salesperson Master'!$A:$A,'Salesperson Master'!$C:$C,"Not Found")</f>
        <v>West</v>
      </c>
      <c r="M59" s="16" t="str">
        <f t="shared" si="3"/>
        <v>ID is present</v>
      </c>
      <c r="N59" s="16" t="str">
        <f t="shared" si="8"/>
        <v>High</v>
      </c>
      <c r="O59" s="16" t="str">
        <f>_xlfn.XLOOKUP(B59, 'Salesperson Master'!A:A, 'Salesperson Master'!B:B)</f>
        <v>David Kim</v>
      </c>
    </row>
    <row r="60" spans="1:15" ht="15" customHeight="1" thickBot="1" x14ac:dyDescent="0.5">
      <c r="A60" s="17" t="s">
        <v>125</v>
      </c>
      <c r="B60" s="17" t="s">
        <v>3</v>
      </c>
      <c r="C60" s="18">
        <v>45609</v>
      </c>
      <c r="D60" s="19" t="s">
        <v>53</v>
      </c>
      <c r="E60" s="19" t="s">
        <v>49</v>
      </c>
      <c r="F60" s="19">
        <v>14</v>
      </c>
      <c r="G60" s="20">
        <v>1331.88</v>
      </c>
      <c r="H60" s="21">
        <v>0.15</v>
      </c>
      <c r="I60" s="22">
        <f t="shared" si="5"/>
        <v>18646.32</v>
      </c>
      <c r="J60" s="22">
        <f t="shared" si="6"/>
        <v>2796.9479999999999</v>
      </c>
      <c r="K60" s="22">
        <f t="shared" si="7"/>
        <v>15849.371999999999</v>
      </c>
      <c r="L60" s="23" t="str">
        <f>_xlfn.XLOOKUP(B60,'Salesperson Master'!$A:$A,'Salesperson Master'!$C:$C,"Not Found")</f>
        <v>North</v>
      </c>
      <c r="M60" s="16" t="str">
        <f t="shared" si="3"/>
        <v>ID is present</v>
      </c>
      <c r="N60" s="16" t="str">
        <f t="shared" si="8"/>
        <v>High</v>
      </c>
      <c r="O60" s="16" t="str">
        <f>_xlfn.XLOOKUP(B60, 'Salesperson Master'!A:A, 'Salesperson Master'!B:B)</f>
        <v>Alice Johnson</v>
      </c>
    </row>
    <row r="61" spans="1:15" ht="15" customHeight="1" thickBot="1" x14ac:dyDescent="0.5">
      <c r="A61" s="24" t="s">
        <v>126</v>
      </c>
      <c r="B61" s="24" t="s">
        <v>23</v>
      </c>
      <c r="C61" s="25">
        <v>45453</v>
      </c>
      <c r="D61" s="26" t="s">
        <v>94</v>
      </c>
      <c r="E61" s="26" t="s">
        <v>95</v>
      </c>
      <c r="F61" s="26">
        <v>9</v>
      </c>
      <c r="G61" s="27">
        <v>448.31</v>
      </c>
      <c r="H61" s="28">
        <v>0.2</v>
      </c>
      <c r="I61" s="29">
        <f t="shared" si="5"/>
        <v>4034.79</v>
      </c>
      <c r="J61" s="29">
        <f t="shared" si="6"/>
        <v>806.95800000000008</v>
      </c>
      <c r="K61" s="29">
        <f t="shared" si="7"/>
        <v>3227.8319999999999</v>
      </c>
      <c r="L61" s="23" t="str">
        <f>_xlfn.XLOOKUP(B61,'Salesperson Master'!$A:$A,'Salesperson Master'!$C:$C,"Not Found")</f>
        <v>North</v>
      </c>
      <c r="M61" s="16" t="str">
        <f t="shared" si="3"/>
        <v>ID is present</v>
      </c>
      <c r="N61" s="16" t="str">
        <f t="shared" si="8"/>
        <v>High</v>
      </c>
      <c r="O61" s="16" t="str">
        <f>_xlfn.XLOOKUP(B61, 'Salesperson Master'!A:A, 'Salesperson Master'!B:B)</f>
        <v>Iris Thompson</v>
      </c>
    </row>
    <row r="62" spans="1:15" ht="15" customHeight="1" thickBot="1" x14ac:dyDescent="0.5">
      <c r="A62" s="17" t="s">
        <v>127</v>
      </c>
      <c r="B62" s="17" t="s">
        <v>17</v>
      </c>
      <c r="C62" s="18">
        <v>45414</v>
      </c>
      <c r="D62" s="19" t="s">
        <v>63</v>
      </c>
      <c r="E62" s="19" t="s">
        <v>56</v>
      </c>
      <c r="F62" s="19">
        <v>13</v>
      </c>
      <c r="G62" s="20">
        <v>305.20999999999998</v>
      </c>
      <c r="H62" s="21">
        <v>0.2</v>
      </c>
      <c r="I62" s="22">
        <f t="shared" si="5"/>
        <v>3967.7299999999996</v>
      </c>
      <c r="J62" s="22">
        <f t="shared" si="6"/>
        <v>793.54599999999994</v>
      </c>
      <c r="K62" s="22">
        <f t="shared" si="7"/>
        <v>3174.1839999999997</v>
      </c>
      <c r="L62" s="23" t="str">
        <f>_xlfn.XLOOKUP(B62,'Salesperson Master'!$A:$A,'Salesperson Master'!$C:$C,"Not Found")</f>
        <v>South</v>
      </c>
      <c r="M62" s="16" t="str">
        <f t="shared" si="3"/>
        <v>ID is present</v>
      </c>
      <c r="N62" s="16" t="str">
        <f t="shared" si="8"/>
        <v>High</v>
      </c>
      <c r="O62" s="16" t="str">
        <f>_xlfn.XLOOKUP(B62, 'Salesperson Master'!A:A, 'Salesperson Master'!B:B)</f>
        <v>Frank Wilson</v>
      </c>
    </row>
    <row r="63" spans="1:15" ht="15" customHeight="1" thickBot="1" x14ac:dyDescent="0.5">
      <c r="A63" s="24" t="s">
        <v>128</v>
      </c>
      <c r="B63" s="24" t="s">
        <v>15</v>
      </c>
      <c r="C63" s="25">
        <v>45526</v>
      </c>
      <c r="D63" s="26" t="s">
        <v>60</v>
      </c>
      <c r="E63" s="26" t="s">
        <v>49</v>
      </c>
      <c r="F63" s="26">
        <v>3</v>
      </c>
      <c r="G63" s="27">
        <v>68.17</v>
      </c>
      <c r="H63" s="28">
        <v>0.15</v>
      </c>
      <c r="I63" s="29">
        <f t="shared" si="5"/>
        <v>204.51</v>
      </c>
      <c r="J63" s="29">
        <f t="shared" si="6"/>
        <v>30.676499999999997</v>
      </c>
      <c r="K63" s="29">
        <f t="shared" si="7"/>
        <v>173.83349999999999</v>
      </c>
      <c r="L63" s="23" t="str">
        <f>_xlfn.XLOOKUP(B63,'Salesperson Master'!$A:$A,'Salesperson Master'!$C:$C,"Not Found")</f>
        <v>North</v>
      </c>
      <c r="M63" s="16" t="str">
        <f t="shared" si="3"/>
        <v>ID is present</v>
      </c>
      <c r="N63" s="16" t="str">
        <f t="shared" si="8"/>
        <v>High</v>
      </c>
      <c r="O63" s="16" t="str">
        <f>_xlfn.XLOOKUP(B63, 'Salesperson Master'!A:A, 'Salesperson Master'!B:B)</f>
        <v>Eva Brown</v>
      </c>
    </row>
    <row r="64" spans="1:15" ht="15" customHeight="1" thickBot="1" x14ac:dyDescent="0.5">
      <c r="A64" s="17" t="s">
        <v>129</v>
      </c>
      <c r="B64" s="17" t="s">
        <v>25</v>
      </c>
      <c r="C64" s="18">
        <v>45343</v>
      </c>
      <c r="D64" s="19" t="s">
        <v>53</v>
      </c>
      <c r="E64" s="19" t="s">
        <v>49</v>
      </c>
      <c r="F64" s="19">
        <v>18</v>
      </c>
      <c r="G64" s="20">
        <v>465.65</v>
      </c>
      <c r="H64" s="21">
        <v>0.05</v>
      </c>
      <c r="I64" s="22">
        <f t="shared" si="5"/>
        <v>8381.6999999999989</v>
      </c>
      <c r="J64" s="22">
        <f t="shared" si="6"/>
        <v>419.08499999999998</v>
      </c>
      <c r="K64" s="22">
        <f t="shared" si="7"/>
        <v>7962.6149999999989</v>
      </c>
      <c r="L64" s="23" t="str">
        <f>_xlfn.XLOOKUP(B64,'Salesperson Master'!$A:$A,'Salesperson Master'!$C:$C,"Not Found")</f>
        <v>South</v>
      </c>
      <c r="M64" s="16" t="str">
        <f t="shared" si="3"/>
        <v>ID is present</v>
      </c>
      <c r="N64" s="16" t="str">
        <f t="shared" si="8"/>
        <v>Low</v>
      </c>
      <c r="O64" s="16" t="str">
        <f>_xlfn.XLOOKUP(B64, 'Salesperson Master'!A:A, 'Salesperson Master'!B:B)</f>
        <v>James White</v>
      </c>
    </row>
    <row r="65" spans="1:15" ht="15" customHeight="1" thickBot="1" x14ac:dyDescent="0.5">
      <c r="A65" s="24" t="s">
        <v>130</v>
      </c>
      <c r="B65" s="24" t="s">
        <v>9</v>
      </c>
      <c r="C65" s="25">
        <v>45470</v>
      </c>
      <c r="D65" s="26" t="s">
        <v>94</v>
      </c>
      <c r="E65" s="26" t="s">
        <v>95</v>
      </c>
      <c r="F65" s="26">
        <v>3</v>
      </c>
      <c r="G65" s="27">
        <v>1764.58</v>
      </c>
      <c r="H65" s="28">
        <v>0.05</v>
      </c>
      <c r="I65" s="29">
        <f t="shared" si="5"/>
        <v>5293.74</v>
      </c>
      <c r="J65" s="29">
        <f t="shared" si="6"/>
        <v>264.68700000000001</v>
      </c>
      <c r="K65" s="29">
        <f t="shared" si="7"/>
        <v>5029.0529999999999</v>
      </c>
      <c r="L65" s="23" t="str">
        <f>_xlfn.XLOOKUP(B65,'Salesperson Master'!$A:$A,'Salesperson Master'!$C:$C,"Not Found")</f>
        <v>East</v>
      </c>
      <c r="M65" s="16" t="str">
        <f t="shared" si="3"/>
        <v>ID is present</v>
      </c>
      <c r="N65" s="16" t="str">
        <f t="shared" si="8"/>
        <v>Low</v>
      </c>
      <c r="O65" s="16" t="str">
        <f>_xlfn.XLOOKUP(B65, 'Salesperson Master'!A:A, 'Salesperson Master'!B:B)</f>
        <v>Carol Lee</v>
      </c>
    </row>
    <row r="66" spans="1:15" ht="15" customHeight="1" thickBot="1" x14ac:dyDescent="0.5">
      <c r="A66" s="17" t="s">
        <v>131</v>
      </c>
      <c r="B66" s="17" t="s">
        <v>15</v>
      </c>
      <c r="C66" s="18">
        <v>45372</v>
      </c>
      <c r="D66" s="19" t="s">
        <v>81</v>
      </c>
      <c r="E66" s="19" t="s">
        <v>71</v>
      </c>
      <c r="F66" s="19">
        <v>18</v>
      </c>
      <c r="G66" s="20">
        <v>1421.9</v>
      </c>
      <c r="H66" s="21">
        <v>0.15</v>
      </c>
      <c r="I66" s="22">
        <f t="shared" ref="I66:I101" si="9">F66*G66</f>
        <v>25594.2</v>
      </c>
      <c r="J66" s="22">
        <f t="shared" ref="J66:J97" si="10">I66*H66</f>
        <v>3839.13</v>
      </c>
      <c r="K66" s="22">
        <f t="shared" ref="K66:K97" si="11">I66-J66</f>
        <v>21755.07</v>
      </c>
      <c r="L66" s="23" t="str">
        <f>_xlfn.XLOOKUP(B66,'Salesperson Master'!$A:$A,'Salesperson Master'!$C:$C,"Not Found")</f>
        <v>North</v>
      </c>
      <c r="M66" s="16" t="str">
        <f t="shared" ref="M66:M101" si="12">IF(B66="","ID not present","ID is present")</f>
        <v>ID is present</v>
      </c>
      <c r="N66" s="16" t="str">
        <f t="shared" ref="N66:N101" si="13">IF(H66&gt;=0.15,"High",IF(0.5&lt;=H66&lt;=0.15,"Medium","Low"))</f>
        <v>High</v>
      </c>
      <c r="O66" s="16" t="str">
        <f>_xlfn.XLOOKUP(B66, 'Salesperson Master'!A:A, 'Salesperson Master'!B:B)</f>
        <v>Eva Brown</v>
      </c>
    </row>
    <row r="67" spans="1:15" ht="15" customHeight="1" thickBot="1" x14ac:dyDescent="0.5">
      <c r="A67" s="24" t="s">
        <v>132</v>
      </c>
      <c r="B67" s="24" t="s">
        <v>31</v>
      </c>
      <c r="C67" s="25">
        <v>45626</v>
      </c>
      <c r="D67" s="26" t="s">
        <v>89</v>
      </c>
      <c r="E67" s="26" t="s">
        <v>67</v>
      </c>
      <c r="F67" s="26">
        <v>1</v>
      </c>
      <c r="G67" s="27">
        <v>1352.33</v>
      </c>
      <c r="H67" s="28">
        <v>0.15</v>
      </c>
      <c r="I67" s="29">
        <f t="shared" si="9"/>
        <v>1352.33</v>
      </c>
      <c r="J67" s="29">
        <f t="shared" si="10"/>
        <v>202.84949999999998</v>
      </c>
      <c r="K67" s="29">
        <f t="shared" si="11"/>
        <v>1149.4804999999999</v>
      </c>
      <c r="L67" s="23" t="str">
        <f>_xlfn.XLOOKUP(B67,'Salesperson Master'!$A:$A,'Salesperson Master'!$C:$C,"Not Found")</f>
        <v>North</v>
      </c>
      <c r="M67" s="16" t="str">
        <f t="shared" si="12"/>
        <v>ID is present</v>
      </c>
      <c r="N67" s="16" t="str">
        <f t="shared" si="13"/>
        <v>High</v>
      </c>
      <c r="O67" s="16" t="str">
        <f>_xlfn.XLOOKUP(B67, 'Salesperson Master'!A:A, 'Salesperson Master'!B:B)</f>
        <v>Mia Clark</v>
      </c>
    </row>
    <row r="68" spans="1:15" ht="15" customHeight="1" thickBot="1" x14ac:dyDescent="0.5">
      <c r="A68" s="17" t="s">
        <v>133</v>
      </c>
      <c r="B68" s="17" t="s">
        <v>15</v>
      </c>
      <c r="C68" s="18">
        <v>45631</v>
      </c>
      <c r="D68" s="19" t="s">
        <v>53</v>
      </c>
      <c r="E68" s="19" t="s">
        <v>49</v>
      </c>
      <c r="F68" s="19">
        <v>5</v>
      </c>
      <c r="G68" s="20">
        <v>565.71</v>
      </c>
      <c r="H68" s="21">
        <v>0</v>
      </c>
      <c r="I68" s="22">
        <f t="shared" si="9"/>
        <v>2828.55</v>
      </c>
      <c r="J68" s="22">
        <f t="shared" si="10"/>
        <v>0</v>
      </c>
      <c r="K68" s="22">
        <f t="shared" si="11"/>
        <v>2828.55</v>
      </c>
      <c r="L68" s="23" t="str">
        <f>_xlfn.XLOOKUP(B68,'Salesperson Master'!$A:$A,'Salesperson Master'!$C:$C,"Not Found")</f>
        <v>North</v>
      </c>
      <c r="M68" s="16" t="str">
        <f t="shared" si="12"/>
        <v>ID is present</v>
      </c>
      <c r="N68" s="16" t="str">
        <f t="shared" si="13"/>
        <v>Low</v>
      </c>
      <c r="O68" s="16" t="str">
        <f>_xlfn.XLOOKUP(B68, 'Salesperson Master'!A:A, 'Salesperson Master'!B:B)</f>
        <v>Eva Brown</v>
      </c>
    </row>
    <row r="69" spans="1:15" ht="15" customHeight="1" thickBot="1" x14ac:dyDescent="0.5">
      <c r="A69" s="24" t="s">
        <v>134</v>
      </c>
      <c r="B69" s="24" t="s">
        <v>29</v>
      </c>
      <c r="C69" s="25">
        <v>45575</v>
      </c>
      <c r="D69" s="26" t="s">
        <v>75</v>
      </c>
      <c r="E69" s="26" t="s">
        <v>56</v>
      </c>
      <c r="F69" s="26">
        <v>9</v>
      </c>
      <c r="G69" s="27">
        <v>599.41999999999996</v>
      </c>
      <c r="H69" s="28">
        <v>0</v>
      </c>
      <c r="I69" s="29">
        <f t="shared" si="9"/>
        <v>5394.78</v>
      </c>
      <c r="J69" s="29">
        <f t="shared" si="10"/>
        <v>0</v>
      </c>
      <c r="K69" s="29">
        <f t="shared" si="11"/>
        <v>5394.78</v>
      </c>
      <c r="L69" s="23" t="str">
        <f>_xlfn.XLOOKUP(B69,'Salesperson Master'!$A:$A,'Salesperson Master'!$C:$C,"Not Found")</f>
        <v>West</v>
      </c>
      <c r="M69" s="16" t="str">
        <f t="shared" si="12"/>
        <v>ID is present</v>
      </c>
      <c r="N69" s="16" t="str">
        <f t="shared" si="13"/>
        <v>Low</v>
      </c>
      <c r="O69" s="16" t="str">
        <f>_xlfn.XLOOKUP(B69, 'Salesperson Master'!A:A, 'Salesperson Master'!B:B)</f>
        <v>Leo Martinez</v>
      </c>
    </row>
    <row r="70" spans="1:15" ht="15" customHeight="1" thickBot="1" x14ac:dyDescent="0.5">
      <c r="A70" s="17" t="s">
        <v>135</v>
      </c>
      <c r="B70" s="17" t="s">
        <v>29</v>
      </c>
      <c r="C70" s="18">
        <v>45467</v>
      </c>
      <c r="D70" s="19" t="s">
        <v>55</v>
      </c>
      <c r="E70" s="19" t="s">
        <v>56</v>
      </c>
      <c r="F70" s="19">
        <v>9</v>
      </c>
      <c r="G70" s="20">
        <v>1035.55</v>
      </c>
      <c r="H70" s="21">
        <v>0.05</v>
      </c>
      <c r="I70" s="22">
        <f t="shared" si="9"/>
        <v>9319.9499999999989</v>
      </c>
      <c r="J70" s="22">
        <f t="shared" si="10"/>
        <v>465.99749999999995</v>
      </c>
      <c r="K70" s="22">
        <f t="shared" si="11"/>
        <v>8853.9524999999994</v>
      </c>
      <c r="L70" s="23" t="str">
        <f>_xlfn.XLOOKUP(B70,'Salesperson Master'!$A:$A,'Salesperson Master'!$C:$C,"Not Found")</f>
        <v>West</v>
      </c>
      <c r="M70" s="16" t="str">
        <f t="shared" si="12"/>
        <v>ID is present</v>
      </c>
      <c r="N70" s="16" t="str">
        <f t="shared" si="13"/>
        <v>Low</v>
      </c>
      <c r="O70" s="16" t="str">
        <f>_xlfn.XLOOKUP(B70, 'Salesperson Master'!A:A, 'Salesperson Master'!B:B)</f>
        <v>Leo Martinez</v>
      </c>
    </row>
    <row r="71" spans="1:15" ht="15" customHeight="1" thickBot="1" x14ac:dyDescent="0.5">
      <c r="A71" s="24" t="s">
        <v>136</v>
      </c>
      <c r="B71" s="24" t="s">
        <v>35</v>
      </c>
      <c r="C71" s="25">
        <v>45318</v>
      </c>
      <c r="D71" s="26" t="s">
        <v>53</v>
      </c>
      <c r="E71" s="26" t="s">
        <v>49</v>
      </c>
      <c r="F71" s="26">
        <v>14</v>
      </c>
      <c r="G71" s="27">
        <v>1667.23</v>
      </c>
      <c r="H71" s="28">
        <v>0</v>
      </c>
      <c r="I71" s="29">
        <f t="shared" si="9"/>
        <v>23341.22</v>
      </c>
      <c r="J71" s="29">
        <f t="shared" si="10"/>
        <v>0</v>
      </c>
      <c r="K71" s="29">
        <f t="shared" si="11"/>
        <v>23341.22</v>
      </c>
      <c r="L71" s="23" t="str">
        <f>_xlfn.XLOOKUP(B71,'Salesperson Master'!$A:$A,'Salesperson Master'!$C:$C,"Not Found")</f>
        <v>East</v>
      </c>
      <c r="M71" s="16" t="str">
        <f t="shared" si="12"/>
        <v>ID is present</v>
      </c>
      <c r="N71" s="16" t="str">
        <f t="shared" si="13"/>
        <v>Low</v>
      </c>
      <c r="O71" s="16" t="str">
        <f>_xlfn.XLOOKUP(B71, 'Salesperson Master'!A:A, 'Salesperson Master'!B:B)</f>
        <v>Olivia Walker</v>
      </c>
    </row>
    <row r="72" spans="1:15" ht="15" customHeight="1" thickBot="1" x14ac:dyDescent="0.5">
      <c r="A72" s="17" t="s">
        <v>137</v>
      </c>
      <c r="B72" s="17" t="s">
        <v>3</v>
      </c>
      <c r="C72" s="18">
        <v>45462</v>
      </c>
      <c r="D72" s="19" t="s">
        <v>58</v>
      </c>
      <c r="E72" s="19" t="s">
        <v>56</v>
      </c>
      <c r="F72" s="19">
        <v>5</v>
      </c>
      <c r="G72" s="20">
        <v>1292.3699999999999</v>
      </c>
      <c r="H72" s="21">
        <v>0.05</v>
      </c>
      <c r="I72" s="22">
        <f t="shared" si="9"/>
        <v>6461.8499999999995</v>
      </c>
      <c r="J72" s="22">
        <f t="shared" si="10"/>
        <v>323.09249999999997</v>
      </c>
      <c r="K72" s="22">
        <f t="shared" si="11"/>
        <v>6138.7574999999997</v>
      </c>
      <c r="L72" s="23" t="str">
        <f>_xlfn.XLOOKUP(B72,'Salesperson Master'!$A:$A,'Salesperson Master'!$C:$C,"Not Found")</f>
        <v>North</v>
      </c>
      <c r="M72" s="16" t="str">
        <f t="shared" si="12"/>
        <v>ID is present</v>
      </c>
      <c r="N72" s="16" t="str">
        <f t="shared" si="13"/>
        <v>Low</v>
      </c>
      <c r="O72" s="16" t="str">
        <f>_xlfn.XLOOKUP(B72, 'Salesperson Master'!A:A, 'Salesperson Master'!B:B)</f>
        <v>Alice Johnson</v>
      </c>
    </row>
    <row r="73" spans="1:15" ht="15" customHeight="1" thickBot="1" x14ac:dyDescent="0.5">
      <c r="A73" s="24" t="s">
        <v>138</v>
      </c>
      <c r="B73" s="24" t="s">
        <v>9</v>
      </c>
      <c r="C73" s="25">
        <v>45518</v>
      </c>
      <c r="D73" s="26" t="s">
        <v>89</v>
      </c>
      <c r="E73" s="26" t="s">
        <v>67</v>
      </c>
      <c r="F73" s="26">
        <v>14</v>
      </c>
      <c r="G73" s="27">
        <v>1143.77</v>
      </c>
      <c r="H73" s="28">
        <v>0</v>
      </c>
      <c r="I73" s="29">
        <f t="shared" si="9"/>
        <v>16012.779999999999</v>
      </c>
      <c r="J73" s="29">
        <f t="shared" si="10"/>
        <v>0</v>
      </c>
      <c r="K73" s="29">
        <f t="shared" si="11"/>
        <v>16012.779999999999</v>
      </c>
      <c r="L73" s="23" t="str">
        <f>_xlfn.XLOOKUP(B73,'Salesperson Master'!$A:$A,'Salesperson Master'!$C:$C,"Not Found")</f>
        <v>East</v>
      </c>
      <c r="M73" s="16" t="str">
        <f t="shared" si="12"/>
        <v>ID is present</v>
      </c>
      <c r="N73" s="16" t="str">
        <f t="shared" si="13"/>
        <v>Low</v>
      </c>
      <c r="O73" s="16" t="str">
        <f>_xlfn.XLOOKUP(B73, 'Salesperson Master'!A:A, 'Salesperson Master'!B:B)</f>
        <v>Carol Lee</v>
      </c>
    </row>
    <row r="74" spans="1:15" ht="15" customHeight="1" thickBot="1" x14ac:dyDescent="0.5">
      <c r="A74" s="17" t="s">
        <v>139</v>
      </c>
      <c r="B74" s="17" t="s">
        <v>6</v>
      </c>
      <c r="C74" s="18">
        <v>45645</v>
      </c>
      <c r="D74" s="19" t="s">
        <v>94</v>
      </c>
      <c r="E74" s="19" t="s">
        <v>95</v>
      </c>
      <c r="F74" s="19">
        <v>5</v>
      </c>
      <c r="G74" s="20">
        <v>1113.9000000000001</v>
      </c>
      <c r="H74" s="21">
        <v>0.25</v>
      </c>
      <c r="I74" s="22">
        <f t="shared" si="9"/>
        <v>5569.5</v>
      </c>
      <c r="J74" s="22">
        <f t="shared" si="10"/>
        <v>1392.375</v>
      </c>
      <c r="K74" s="22">
        <f t="shared" si="11"/>
        <v>4177.125</v>
      </c>
      <c r="L74" s="23" t="str">
        <f>_xlfn.XLOOKUP(B74,'Salesperson Master'!$A:$A,'Salesperson Master'!$C:$C,"Not Found")</f>
        <v>South</v>
      </c>
      <c r="M74" s="16" t="str">
        <f t="shared" si="12"/>
        <v>ID is present</v>
      </c>
      <c r="N74" s="16" t="str">
        <f t="shared" si="13"/>
        <v>High</v>
      </c>
      <c r="O74" s="16" t="str">
        <f>_xlfn.XLOOKUP(B74, 'Salesperson Master'!A:A, 'Salesperson Master'!B:B)</f>
        <v>Bob Martinez</v>
      </c>
    </row>
    <row r="75" spans="1:15" ht="15" customHeight="1" thickBot="1" x14ac:dyDescent="0.5">
      <c r="A75" s="24" t="s">
        <v>140</v>
      </c>
      <c r="B75" s="24" t="s">
        <v>17</v>
      </c>
      <c r="C75" s="25">
        <v>45590</v>
      </c>
      <c r="D75" s="26" t="s">
        <v>89</v>
      </c>
      <c r="E75" s="26" t="s">
        <v>67</v>
      </c>
      <c r="F75" s="26">
        <v>5</v>
      </c>
      <c r="G75" s="27">
        <v>888.08</v>
      </c>
      <c r="H75" s="28">
        <v>0</v>
      </c>
      <c r="I75" s="29">
        <f t="shared" si="9"/>
        <v>4440.4000000000005</v>
      </c>
      <c r="J75" s="29">
        <f t="shared" si="10"/>
        <v>0</v>
      </c>
      <c r="K75" s="29">
        <f t="shared" si="11"/>
        <v>4440.4000000000005</v>
      </c>
      <c r="L75" s="23" t="str">
        <f>_xlfn.XLOOKUP(B75,'Salesperson Master'!$A:$A,'Salesperson Master'!$C:$C,"Not Found")</f>
        <v>South</v>
      </c>
      <c r="M75" s="16" t="str">
        <f t="shared" si="12"/>
        <v>ID is present</v>
      </c>
      <c r="N75" s="16" t="str">
        <f t="shared" si="13"/>
        <v>Low</v>
      </c>
      <c r="O75" s="16" t="str">
        <f>_xlfn.XLOOKUP(B75, 'Salesperson Master'!A:A, 'Salesperson Master'!B:B)</f>
        <v>Frank Wilson</v>
      </c>
    </row>
    <row r="76" spans="1:15" ht="15" customHeight="1" thickBot="1" x14ac:dyDescent="0.5">
      <c r="A76" s="17" t="s">
        <v>141</v>
      </c>
      <c r="B76" s="17" t="s">
        <v>15</v>
      </c>
      <c r="C76" s="18">
        <v>45478</v>
      </c>
      <c r="D76" s="19" t="s">
        <v>94</v>
      </c>
      <c r="E76" s="19" t="s">
        <v>95</v>
      </c>
      <c r="F76" s="19">
        <v>2</v>
      </c>
      <c r="G76" s="20">
        <v>1802.9</v>
      </c>
      <c r="H76" s="21">
        <v>0</v>
      </c>
      <c r="I76" s="22">
        <f t="shared" si="9"/>
        <v>3605.8</v>
      </c>
      <c r="J76" s="22">
        <f t="shared" si="10"/>
        <v>0</v>
      </c>
      <c r="K76" s="22">
        <f t="shared" si="11"/>
        <v>3605.8</v>
      </c>
      <c r="L76" s="23" t="str">
        <f>_xlfn.XLOOKUP(B76,'Salesperson Master'!$A:$A,'Salesperson Master'!$C:$C,"Not Found")</f>
        <v>North</v>
      </c>
      <c r="M76" s="16" t="str">
        <f t="shared" si="12"/>
        <v>ID is present</v>
      </c>
      <c r="N76" s="16" t="str">
        <f t="shared" si="13"/>
        <v>Low</v>
      </c>
      <c r="O76" s="16" t="str">
        <f>_xlfn.XLOOKUP(B76, 'Salesperson Master'!A:A, 'Salesperson Master'!B:B)</f>
        <v>Eva Brown</v>
      </c>
    </row>
    <row r="77" spans="1:15" ht="15" customHeight="1" thickBot="1" x14ac:dyDescent="0.5">
      <c r="A77" s="24" t="s">
        <v>142</v>
      </c>
      <c r="B77" s="24" t="s">
        <v>27</v>
      </c>
      <c r="C77" s="25">
        <v>45419</v>
      </c>
      <c r="D77" s="26" t="s">
        <v>51</v>
      </c>
      <c r="E77" s="26" t="s">
        <v>49</v>
      </c>
      <c r="F77" s="26">
        <v>4</v>
      </c>
      <c r="G77" s="27">
        <v>739.67</v>
      </c>
      <c r="H77" s="28">
        <v>0.15</v>
      </c>
      <c r="I77" s="29">
        <f t="shared" si="9"/>
        <v>2958.68</v>
      </c>
      <c r="J77" s="29">
        <f t="shared" si="10"/>
        <v>443.80199999999996</v>
      </c>
      <c r="K77" s="29">
        <f t="shared" si="11"/>
        <v>2514.8779999999997</v>
      </c>
      <c r="L77" s="23" t="str">
        <f>_xlfn.XLOOKUP(B77,'Salesperson Master'!$A:$A,'Salesperson Master'!$C:$C,"Not Found")</f>
        <v>East</v>
      </c>
      <c r="M77" s="16" t="str">
        <f t="shared" si="12"/>
        <v>ID is present</v>
      </c>
      <c r="N77" s="16" t="str">
        <f t="shared" si="13"/>
        <v>High</v>
      </c>
      <c r="O77" s="16" t="str">
        <f>_xlfn.XLOOKUP(B77, 'Salesperson Master'!A:A, 'Salesperson Master'!B:B)</f>
        <v>Karen Harris</v>
      </c>
    </row>
    <row r="78" spans="1:15" ht="15" customHeight="1" thickBot="1" x14ac:dyDescent="0.5">
      <c r="A78" s="17" t="s">
        <v>143</v>
      </c>
      <c r="B78" s="17" t="s">
        <v>35</v>
      </c>
      <c r="C78" s="18">
        <v>45500</v>
      </c>
      <c r="D78" s="19" t="s">
        <v>66</v>
      </c>
      <c r="E78" s="19" t="s">
        <v>67</v>
      </c>
      <c r="F78" s="19">
        <v>5</v>
      </c>
      <c r="G78" s="20">
        <v>1855.24</v>
      </c>
      <c r="H78" s="21">
        <v>0</v>
      </c>
      <c r="I78" s="22">
        <f t="shared" si="9"/>
        <v>9276.2000000000007</v>
      </c>
      <c r="J78" s="22">
        <f t="shared" si="10"/>
        <v>0</v>
      </c>
      <c r="K78" s="22">
        <f t="shared" si="11"/>
        <v>9276.2000000000007</v>
      </c>
      <c r="L78" s="23" t="str">
        <f>_xlfn.XLOOKUP(B78,'Salesperson Master'!$A:$A,'Salesperson Master'!$C:$C,"Not Found")</f>
        <v>East</v>
      </c>
      <c r="M78" s="16" t="str">
        <f t="shared" si="12"/>
        <v>ID is present</v>
      </c>
      <c r="N78" s="16" t="str">
        <f t="shared" si="13"/>
        <v>Low</v>
      </c>
      <c r="O78" s="16" t="str">
        <f>_xlfn.XLOOKUP(B78, 'Salesperson Master'!A:A, 'Salesperson Master'!B:B)</f>
        <v>Olivia Walker</v>
      </c>
    </row>
    <row r="79" spans="1:15" ht="15" customHeight="1" thickBot="1" x14ac:dyDescent="0.5">
      <c r="A79" s="24" t="s">
        <v>144</v>
      </c>
      <c r="B79" s="24" t="s">
        <v>33</v>
      </c>
      <c r="C79" s="25">
        <v>45375</v>
      </c>
      <c r="D79" s="26" t="s">
        <v>58</v>
      </c>
      <c r="E79" s="26" t="s">
        <v>56</v>
      </c>
      <c r="F79" s="26">
        <v>6</v>
      </c>
      <c r="G79" s="27">
        <v>1768.76</v>
      </c>
      <c r="H79" s="28">
        <v>0</v>
      </c>
      <c r="I79" s="29">
        <f t="shared" si="9"/>
        <v>10612.56</v>
      </c>
      <c r="J79" s="29">
        <f t="shared" si="10"/>
        <v>0</v>
      </c>
      <c r="K79" s="29">
        <f t="shared" si="11"/>
        <v>10612.56</v>
      </c>
      <c r="L79" s="23" t="str">
        <f>_xlfn.XLOOKUP(B79,'Salesperson Master'!$A:$A,'Salesperson Master'!$C:$C,"Not Found")</f>
        <v>South</v>
      </c>
      <c r="M79" s="16" t="str">
        <f t="shared" si="12"/>
        <v>ID is present</v>
      </c>
      <c r="N79" s="16" t="str">
        <f t="shared" si="13"/>
        <v>Low</v>
      </c>
      <c r="O79" s="16" t="str">
        <f>_xlfn.XLOOKUP(B79, 'Salesperson Master'!A:A, 'Salesperson Master'!B:B)</f>
        <v>Noah Lewis</v>
      </c>
    </row>
    <row r="80" spans="1:15" ht="15" customHeight="1" thickBot="1" x14ac:dyDescent="0.5">
      <c r="A80" s="17" t="s">
        <v>145</v>
      </c>
      <c r="B80" s="17" t="s">
        <v>9</v>
      </c>
      <c r="C80" s="18">
        <v>45462</v>
      </c>
      <c r="D80" s="19" t="s">
        <v>58</v>
      </c>
      <c r="E80" s="19" t="s">
        <v>56</v>
      </c>
      <c r="F80" s="19">
        <v>14</v>
      </c>
      <c r="G80" s="20">
        <v>1614.36</v>
      </c>
      <c r="H80" s="21">
        <v>0.25</v>
      </c>
      <c r="I80" s="22">
        <f t="shared" si="9"/>
        <v>22601.039999999997</v>
      </c>
      <c r="J80" s="22">
        <f t="shared" si="10"/>
        <v>5650.2599999999993</v>
      </c>
      <c r="K80" s="22">
        <f t="shared" si="11"/>
        <v>16950.78</v>
      </c>
      <c r="L80" s="23" t="str">
        <f>_xlfn.XLOOKUP(B80,'Salesperson Master'!$A:$A,'Salesperson Master'!$C:$C,"Not Found")</f>
        <v>East</v>
      </c>
      <c r="M80" s="16" t="str">
        <f t="shared" si="12"/>
        <v>ID is present</v>
      </c>
      <c r="N80" s="16" t="str">
        <f t="shared" si="13"/>
        <v>High</v>
      </c>
      <c r="O80" s="16" t="str">
        <f>_xlfn.XLOOKUP(B80, 'Salesperson Master'!A:A, 'Salesperson Master'!B:B)</f>
        <v>Carol Lee</v>
      </c>
    </row>
    <row r="81" spans="1:15" ht="15" customHeight="1" thickBot="1" x14ac:dyDescent="0.5">
      <c r="A81" s="24" t="s">
        <v>146</v>
      </c>
      <c r="B81" s="24" t="s">
        <v>29</v>
      </c>
      <c r="C81" s="25">
        <v>45419</v>
      </c>
      <c r="D81" s="26" t="s">
        <v>63</v>
      </c>
      <c r="E81" s="26" t="s">
        <v>56</v>
      </c>
      <c r="F81" s="26">
        <v>6</v>
      </c>
      <c r="G81" s="27">
        <v>1585.38</v>
      </c>
      <c r="H81" s="28">
        <v>0</v>
      </c>
      <c r="I81" s="29">
        <f t="shared" si="9"/>
        <v>9512.2800000000007</v>
      </c>
      <c r="J81" s="29">
        <f t="shared" si="10"/>
        <v>0</v>
      </c>
      <c r="K81" s="29">
        <f t="shared" si="11"/>
        <v>9512.2800000000007</v>
      </c>
      <c r="L81" s="23" t="str">
        <f>_xlfn.XLOOKUP(B81,'Salesperson Master'!$A:$A,'Salesperson Master'!$C:$C,"Not Found")</f>
        <v>West</v>
      </c>
      <c r="M81" s="16" t="str">
        <f t="shared" si="12"/>
        <v>ID is present</v>
      </c>
      <c r="N81" s="16" t="str">
        <f t="shared" si="13"/>
        <v>Low</v>
      </c>
      <c r="O81" s="16" t="str">
        <f>_xlfn.XLOOKUP(B81, 'Salesperson Master'!A:A, 'Salesperson Master'!B:B)</f>
        <v>Leo Martinez</v>
      </c>
    </row>
    <row r="82" spans="1:15" ht="15" customHeight="1" thickBot="1" x14ac:dyDescent="0.5">
      <c r="A82" s="17" t="s">
        <v>147</v>
      </c>
      <c r="B82" s="17" t="s">
        <v>19</v>
      </c>
      <c r="C82" s="18">
        <v>45311</v>
      </c>
      <c r="D82" s="19" t="s">
        <v>78</v>
      </c>
      <c r="E82" s="19" t="s">
        <v>56</v>
      </c>
      <c r="F82" s="19">
        <v>16</v>
      </c>
      <c r="G82" s="20">
        <v>483.75</v>
      </c>
      <c r="H82" s="21">
        <v>0.25</v>
      </c>
      <c r="I82" s="22">
        <f t="shared" si="9"/>
        <v>7740</v>
      </c>
      <c r="J82" s="22">
        <f t="shared" si="10"/>
        <v>1935</v>
      </c>
      <c r="K82" s="22">
        <f t="shared" si="11"/>
        <v>5805</v>
      </c>
      <c r="L82" s="23" t="str">
        <f>_xlfn.XLOOKUP(B82,'Salesperson Master'!$A:$A,'Salesperson Master'!$C:$C,"Not Found")</f>
        <v>East</v>
      </c>
      <c r="M82" s="16" t="str">
        <f t="shared" si="12"/>
        <v>ID is present</v>
      </c>
      <c r="N82" s="16" t="str">
        <f t="shared" si="13"/>
        <v>High</v>
      </c>
      <c r="O82" s="16" t="str">
        <f>_xlfn.XLOOKUP(B82, 'Salesperson Master'!A:A, 'Salesperson Master'!B:B)</f>
        <v>Grace Chen</v>
      </c>
    </row>
    <row r="83" spans="1:15" ht="15" customHeight="1" thickBot="1" x14ac:dyDescent="0.5">
      <c r="A83" s="24" t="s">
        <v>148</v>
      </c>
      <c r="B83" s="24" t="s">
        <v>35</v>
      </c>
      <c r="C83" s="25">
        <v>45527</v>
      </c>
      <c r="D83" s="26" t="s">
        <v>60</v>
      </c>
      <c r="E83" s="26" t="s">
        <v>49</v>
      </c>
      <c r="F83" s="26">
        <v>10</v>
      </c>
      <c r="G83" s="27">
        <v>1650.05</v>
      </c>
      <c r="H83" s="28">
        <v>0.25</v>
      </c>
      <c r="I83" s="29">
        <f t="shared" si="9"/>
        <v>16500.5</v>
      </c>
      <c r="J83" s="29">
        <f t="shared" si="10"/>
        <v>4125.125</v>
      </c>
      <c r="K83" s="29">
        <f t="shared" si="11"/>
        <v>12375.375</v>
      </c>
      <c r="L83" s="23" t="str">
        <f>_xlfn.XLOOKUP(B83,'Salesperson Master'!$A:$A,'Salesperson Master'!$C:$C,"Not Found")</f>
        <v>East</v>
      </c>
      <c r="M83" s="16" t="str">
        <f t="shared" si="12"/>
        <v>ID is present</v>
      </c>
      <c r="N83" s="16" t="str">
        <f t="shared" si="13"/>
        <v>High</v>
      </c>
      <c r="O83" s="16" t="str">
        <f>_xlfn.XLOOKUP(B83, 'Salesperson Master'!A:A, 'Salesperson Master'!B:B)</f>
        <v>Olivia Walker</v>
      </c>
    </row>
    <row r="84" spans="1:15" ht="15" customHeight="1" thickBot="1" x14ac:dyDescent="0.5">
      <c r="A84" s="17" t="s">
        <v>149</v>
      </c>
      <c r="B84" s="17" t="s">
        <v>12</v>
      </c>
      <c r="C84" s="18">
        <v>45406</v>
      </c>
      <c r="D84" s="19" t="s">
        <v>48</v>
      </c>
      <c r="E84" s="19" t="s">
        <v>49</v>
      </c>
      <c r="F84" s="19">
        <v>7</v>
      </c>
      <c r="G84" s="20">
        <v>827.01</v>
      </c>
      <c r="H84" s="21">
        <v>0.05</v>
      </c>
      <c r="I84" s="22">
        <f t="shared" si="9"/>
        <v>5789.07</v>
      </c>
      <c r="J84" s="22">
        <f t="shared" si="10"/>
        <v>289.45350000000002</v>
      </c>
      <c r="K84" s="22">
        <f t="shared" si="11"/>
        <v>5499.6165000000001</v>
      </c>
      <c r="L84" s="23" t="str">
        <f>_xlfn.XLOOKUP(B84,'Salesperson Master'!$A:$A,'Salesperson Master'!$C:$C,"Not Found")</f>
        <v>West</v>
      </c>
      <c r="M84" s="16" t="str">
        <f t="shared" si="12"/>
        <v>ID is present</v>
      </c>
      <c r="N84" s="16" t="str">
        <f t="shared" si="13"/>
        <v>Low</v>
      </c>
      <c r="O84" s="16" t="str">
        <f>_xlfn.XLOOKUP(B84, 'Salesperson Master'!A:A, 'Salesperson Master'!B:B)</f>
        <v>David Kim</v>
      </c>
    </row>
    <row r="85" spans="1:15" ht="15" customHeight="1" thickBot="1" x14ac:dyDescent="0.5">
      <c r="A85" s="24" t="s">
        <v>150</v>
      </c>
      <c r="B85" s="24" t="s">
        <v>33</v>
      </c>
      <c r="C85" s="25">
        <v>45327</v>
      </c>
      <c r="D85" s="26" t="s">
        <v>58</v>
      </c>
      <c r="E85" s="26" t="s">
        <v>56</v>
      </c>
      <c r="F85" s="26">
        <v>9</v>
      </c>
      <c r="G85" s="27">
        <v>734.73</v>
      </c>
      <c r="H85" s="28">
        <v>0.15</v>
      </c>
      <c r="I85" s="29">
        <f t="shared" si="9"/>
        <v>6612.57</v>
      </c>
      <c r="J85" s="29">
        <f t="shared" si="10"/>
        <v>991.88549999999987</v>
      </c>
      <c r="K85" s="29">
        <f t="shared" si="11"/>
        <v>5620.6844999999994</v>
      </c>
      <c r="L85" s="23" t="str">
        <f>_xlfn.XLOOKUP(B85,'Salesperson Master'!$A:$A,'Salesperson Master'!$C:$C,"Not Found")</f>
        <v>South</v>
      </c>
      <c r="M85" s="16" t="str">
        <f t="shared" si="12"/>
        <v>ID is present</v>
      </c>
      <c r="N85" s="16" t="str">
        <f t="shared" si="13"/>
        <v>High</v>
      </c>
      <c r="O85" s="16" t="str">
        <f>_xlfn.XLOOKUP(B85, 'Salesperson Master'!A:A, 'Salesperson Master'!B:B)</f>
        <v>Noah Lewis</v>
      </c>
    </row>
    <row r="86" spans="1:15" ht="15" customHeight="1" thickBot="1" x14ac:dyDescent="0.5">
      <c r="A86" s="17" t="s">
        <v>151</v>
      </c>
      <c r="B86" s="17" t="s">
        <v>19</v>
      </c>
      <c r="C86" s="18">
        <v>45639</v>
      </c>
      <c r="D86" s="19" t="s">
        <v>78</v>
      </c>
      <c r="E86" s="19" t="s">
        <v>56</v>
      </c>
      <c r="F86" s="19">
        <v>18</v>
      </c>
      <c r="G86" s="20">
        <v>695.74</v>
      </c>
      <c r="H86" s="21">
        <v>0</v>
      </c>
      <c r="I86" s="22">
        <f t="shared" si="9"/>
        <v>12523.32</v>
      </c>
      <c r="J86" s="22">
        <f t="shared" si="10"/>
        <v>0</v>
      </c>
      <c r="K86" s="22">
        <f t="shared" si="11"/>
        <v>12523.32</v>
      </c>
      <c r="L86" s="23" t="str">
        <f>_xlfn.XLOOKUP(B86,'Salesperson Master'!$A:$A,'Salesperson Master'!$C:$C,"Not Found")</f>
        <v>East</v>
      </c>
      <c r="M86" s="16" t="str">
        <f t="shared" si="12"/>
        <v>ID is present</v>
      </c>
      <c r="N86" s="16" t="str">
        <f t="shared" si="13"/>
        <v>Low</v>
      </c>
      <c r="O86" s="16" t="str">
        <f>_xlfn.XLOOKUP(B86, 'Salesperson Master'!A:A, 'Salesperson Master'!B:B)</f>
        <v>Grace Chen</v>
      </c>
    </row>
    <row r="87" spans="1:15" ht="15" customHeight="1" thickBot="1" x14ac:dyDescent="0.5">
      <c r="A87" s="24" t="s">
        <v>152</v>
      </c>
      <c r="B87" s="24" t="s">
        <v>6</v>
      </c>
      <c r="C87" s="25">
        <v>45425</v>
      </c>
      <c r="D87" s="26" t="s">
        <v>75</v>
      </c>
      <c r="E87" s="26" t="s">
        <v>56</v>
      </c>
      <c r="F87" s="26">
        <v>19</v>
      </c>
      <c r="G87" s="27">
        <v>1926.94</v>
      </c>
      <c r="H87" s="28">
        <v>0.05</v>
      </c>
      <c r="I87" s="29">
        <f t="shared" si="9"/>
        <v>36611.86</v>
      </c>
      <c r="J87" s="29">
        <f t="shared" si="10"/>
        <v>1830.5930000000001</v>
      </c>
      <c r="K87" s="29">
        <f t="shared" si="11"/>
        <v>34781.267</v>
      </c>
      <c r="L87" s="23" t="str">
        <f>_xlfn.XLOOKUP(B87,'Salesperson Master'!$A:$A,'Salesperson Master'!$C:$C,"Not Found")</f>
        <v>South</v>
      </c>
      <c r="M87" s="16" t="str">
        <f t="shared" si="12"/>
        <v>ID is present</v>
      </c>
      <c r="N87" s="16" t="str">
        <f t="shared" si="13"/>
        <v>Low</v>
      </c>
      <c r="O87" s="16" t="str">
        <f>_xlfn.XLOOKUP(B87, 'Salesperson Master'!A:A, 'Salesperson Master'!B:B)</f>
        <v>Bob Martinez</v>
      </c>
    </row>
    <row r="88" spans="1:15" ht="15" customHeight="1" thickBot="1" x14ac:dyDescent="0.5">
      <c r="A88" s="17" t="s">
        <v>153</v>
      </c>
      <c r="B88" s="17" t="s">
        <v>3</v>
      </c>
      <c r="C88" s="18">
        <v>45347</v>
      </c>
      <c r="D88" s="19" t="s">
        <v>66</v>
      </c>
      <c r="E88" s="19" t="s">
        <v>67</v>
      </c>
      <c r="F88" s="19">
        <v>14</v>
      </c>
      <c r="G88" s="20">
        <v>724.09</v>
      </c>
      <c r="H88" s="21">
        <v>0.25</v>
      </c>
      <c r="I88" s="22">
        <f t="shared" si="9"/>
        <v>10137.26</v>
      </c>
      <c r="J88" s="22">
        <f t="shared" si="10"/>
        <v>2534.3150000000001</v>
      </c>
      <c r="K88" s="22">
        <f t="shared" si="11"/>
        <v>7602.9449999999997</v>
      </c>
      <c r="L88" s="23" t="str">
        <f>_xlfn.XLOOKUP(B88,'Salesperson Master'!$A:$A,'Salesperson Master'!$C:$C,"Not Found")</f>
        <v>North</v>
      </c>
      <c r="M88" s="16" t="str">
        <f t="shared" si="12"/>
        <v>ID is present</v>
      </c>
      <c r="N88" s="16" t="str">
        <f t="shared" si="13"/>
        <v>High</v>
      </c>
      <c r="O88" s="16" t="str">
        <f>_xlfn.XLOOKUP(B88, 'Salesperson Master'!A:A, 'Salesperson Master'!B:B)</f>
        <v>Alice Johnson</v>
      </c>
    </row>
    <row r="89" spans="1:15" ht="15" customHeight="1" thickBot="1" x14ac:dyDescent="0.5">
      <c r="A89" s="24" t="s">
        <v>154</v>
      </c>
      <c r="B89" s="24" t="s">
        <v>17</v>
      </c>
      <c r="C89" s="25">
        <v>45515</v>
      </c>
      <c r="D89" s="26" t="s">
        <v>66</v>
      </c>
      <c r="E89" s="26" t="s">
        <v>67</v>
      </c>
      <c r="F89" s="26">
        <v>17</v>
      </c>
      <c r="G89" s="27">
        <v>275.51</v>
      </c>
      <c r="H89" s="28">
        <v>0.15</v>
      </c>
      <c r="I89" s="29">
        <f t="shared" si="9"/>
        <v>4683.67</v>
      </c>
      <c r="J89" s="29">
        <f t="shared" si="10"/>
        <v>702.55049999999994</v>
      </c>
      <c r="K89" s="29">
        <f t="shared" si="11"/>
        <v>3981.1195000000002</v>
      </c>
      <c r="L89" s="23" t="str">
        <f>_xlfn.XLOOKUP(B89,'Salesperson Master'!$A:$A,'Salesperson Master'!$C:$C,"Not Found")</f>
        <v>South</v>
      </c>
      <c r="M89" s="16" t="str">
        <f t="shared" si="12"/>
        <v>ID is present</v>
      </c>
      <c r="N89" s="16" t="str">
        <f t="shared" si="13"/>
        <v>High</v>
      </c>
      <c r="O89" s="16" t="str">
        <f>_xlfn.XLOOKUP(B89, 'Salesperson Master'!A:A, 'Salesperson Master'!B:B)</f>
        <v>Frank Wilson</v>
      </c>
    </row>
    <row r="90" spans="1:15" ht="15" customHeight="1" thickBot="1" x14ac:dyDescent="0.5">
      <c r="A90" s="17" t="s">
        <v>155</v>
      </c>
      <c r="B90" s="17" t="s">
        <v>12</v>
      </c>
      <c r="C90" s="18">
        <v>45422</v>
      </c>
      <c r="D90" s="19" t="s">
        <v>48</v>
      </c>
      <c r="E90" s="19" t="s">
        <v>49</v>
      </c>
      <c r="F90" s="19">
        <v>14</v>
      </c>
      <c r="G90" s="20">
        <v>53.3</v>
      </c>
      <c r="H90" s="21">
        <v>0.25</v>
      </c>
      <c r="I90" s="22">
        <f t="shared" si="9"/>
        <v>746.19999999999993</v>
      </c>
      <c r="J90" s="22">
        <f t="shared" si="10"/>
        <v>186.54999999999998</v>
      </c>
      <c r="K90" s="22">
        <f t="shared" si="11"/>
        <v>559.65</v>
      </c>
      <c r="L90" s="23" t="str">
        <f>_xlfn.XLOOKUP(B90,'Salesperson Master'!$A:$A,'Salesperson Master'!$C:$C,"Not Found")</f>
        <v>West</v>
      </c>
      <c r="M90" s="16" t="str">
        <f t="shared" si="12"/>
        <v>ID is present</v>
      </c>
      <c r="N90" s="16" t="str">
        <f t="shared" si="13"/>
        <v>High</v>
      </c>
      <c r="O90" s="16" t="str">
        <f>_xlfn.XLOOKUP(B90, 'Salesperson Master'!A:A, 'Salesperson Master'!B:B)</f>
        <v>David Kim</v>
      </c>
    </row>
    <row r="91" spans="1:15" ht="15" customHeight="1" thickBot="1" x14ac:dyDescent="0.5">
      <c r="A91" s="24" t="s">
        <v>156</v>
      </c>
      <c r="B91" s="24" t="s">
        <v>23</v>
      </c>
      <c r="C91" s="25">
        <v>45643</v>
      </c>
      <c r="D91" s="26" t="s">
        <v>84</v>
      </c>
      <c r="E91" s="26" t="s">
        <v>49</v>
      </c>
      <c r="F91" s="26">
        <v>7</v>
      </c>
      <c r="G91" s="27">
        <v>760.23</v>
      </c>
      <c r="H91" s="28">
        <v>0</v>
      </c>
      <c r="I91" s="29">
        <f t="shared" si="9"/>
        <v>5321.6100000000006</v>
      </c>
      <c r="J91" s="29">
        <f t="shared" si="10"/>
        <v>0</v>
      </c>
      <c r="K91" s="29">
        <f t="shared" si="11"/>
        <v>5321.6100000000006</v>
      </c>
      <c r="L91" s="23" t="str">
        <f>_xlfn.XLOOKUP(B91,'Salesperson Master'!$A:$A,'Salesperson Master'!$C:$C,"Not Found")</f>
        <v>North</v>
      </c>
      <c r="M91" s="16" t="str">
        <f t="shared" si="12"/>
        <v>ID is present</v>
      </c>
      <c r="N91" s="16" t="str">
        <f t="shared" si="13"/>
        <v>Low</v>
      </c>
      <c r="O91" s="16" t="str">
        <f>_xlfn.XLOOKUP(B91, 'Salesperson Master'!A:A, 'Salesperson Master'!B:B)</f>
        <v>Iris Thompson</v>
      </c>
    </row>
    <row r="92" spans="1:15" ht="15" customHeight="1" thickBot="1" x14ac:dyDescent="0.5">
      <c r="A92" s="17" t="s">
        <v>157</v>
      </c>
      <c r="B92" s="17" t="s">
        <v>27</v>
      </c>
      <c r="C92" s="18">
        <v>45461</v>
      </c>
      <c r="D92" s="19" t="s">
        <v>66</v>
      </c>
      <c r="E92" s="19" t="s">
        <v>67</v>
      </c>
      <c r="F92" s="19">
        <v>11</v>
      </c>
      <c r="G92" s="20">
        <v>1343.61</v>
      </c>
      <c r="H92" s="21">
        <v>0</v>
      </c>
      <c r="I92" s="22">
        <f t="shared" si="9"/>
        <v>14779.71</v>
      </c>
      <c r="J92" s="22">
        <f t="shared" si="10"/>
        <v>0</v>
      </c>
      <c r="K92" s="22">
        <f t="shared" si="11"/>
        <v>14779.71</v>
      </c>
      <c r="L92" s="23" t="str">
        <f>_xlfn.XLOOKUP(B92,'Salesperson Master'!$A:$A,'Salesperson Master'!$C:$C,"Not Found")</f>
        <v>East</v>
      </c>
      <c r="M92" s="16" t="str">
        <f t="shared" si="12"/>
        <v>ID is present</v>
      </c>
      <c r="N92" s="16" t="str">
        <f t="shared" si="13"/>
        <v>Low</v>
      </c>
      <c r="O92" s="16" t="str">
        <f>_xlfn.XLOOKUP(B92, 'Salesperson Master'!A:A, 'Salesperson Master'!B:B)</f>
        <v>Karen Harris</v>
      </c>
    </row>
    <row r="93" spans="1:15" ht="15" customHeight="1" thickBot="1" x14ac:dyDescent="0.5">
      <c r="A93" s="24" t="s">
        <v>158</v>
      </c>
      <c r="B93" s="24" t="s">
        <v>29</v>
      </c>
      <c r="C93" s="25">
        <v>45445</v>
      </c>
      <c r="D93" s="26" t="s">
        <v>89</v>
      </c>
      <c r="E93" s="26" t="s">
        <v>67</v>
      </c>
      <c r="F93" s="26">
        <v>10</v>
      </c>
      <c r="G93" s="27">
        <v>1350.44</v>
      </c>
      <c r="H93" s="28">
        <v>0.05</v>
      </c>
      <c r="I93" s="29">
        <f t="shared" si="9"/>
        <v>13504.400000000001</v>
      </c>
      <c r="J93" s="29">
        <f t="shared" si="10"/>
        <v>675.22000000000014</v>
      </c>
      <c r="K93" s="29">
        <f t="shared" si="11"/>
        <v>12829.180000000002</v>
      </c>
      <c r="L93" s="23" t="str">
        <f>_xlfn.XLOOKUP(B93,'Salesperson Master'!$A:$A,'Salesperson Master'!$C:$C,"Not Found")</f>
        <v>West</v>
      </c>
      <c r="M93" s="16" t="str">
        <f t="shared" si="12"/>
        <v>ID is present</v>
      </c>
      <c r="N93" s="16" t="str">
        <f t="shared" si="13"/>
        <v>Low</v>
      </c>
      <c r="O93" s="16" t="str">
        <f>_xlfn.XLOOKUP(B93, 'Salesperson Master'!A:A, 'Salesperson Master'!B:B)</f>
        <v>Leo Martinez</v>
      </c>
    </row>
    <row r="94" spans="1:15" ht="15" customHeight="1" thickBot="1" x14ac:dyDescent="0.5">
      <c r="A94" s="17" t="s">
        <v>159</v>
      </c>
      <c r="B94" s="17" t="s">
        <v>19</v>
      </c>
      <c r="C94" s="18">
        <v>45648</v>
      </c>
      <c r="D94" s="19" t="s">
        <v>63</v>
      </c>
      <c r="E94" s="19" t="s">
        <v>56</v>
      </c>
      <c r="F94" s="19">
        <v>18</v>
      </c>
      <c r="G94" s="20">
        <v>298.20999999999998</v>
      </c>
      <c r="H94" s="21">
        <v>0.1</v>
      </c>
      <c r="I94" s="22">
        <f t="shared" si="9"/>
        <v>5367.78</v>
      </c>
      <c r="J94" s="22">
        <f t="shared" si="10"/>
        <v>536.77800000000002</v>
      </c>
      <c r="K94" s="22">
        <f t="shared" si="11"/>
        <v>4831.0019999999995</v>
      </c>
      <c r="L94" s="23" t="str">
        <f>_xlfn.XLOOKUP(B94,'Salesperson Master'!$A:$A,'Salesperson Master'!$C:$C,"Not Found")</f>
        <v>East</v>
      </c>
      <c r="M94" s="16" t="str">
        <f t="shared" si="12"/>
        <v>ID is present</v>
      </c>
      <c r="N94" s="16" t="str">
        <f t="shared" si="13"/>
        <v>Low</v>
      </c>
      <c r="O94" s="16" t="str">
        <f>_xlfn.XLOOKUP(B94, 'Salesperson Master'!A:A, 'Salesperson Master'!B:B)</f>
        <v>Grace Chen</v>
      </c>
    </row>
    <row r="95" spans="1:15" ht="15" customHeight="1" thickBot="1" x14ac:dyDescent="0.5">
      <c r="A95" s="24" t="s">
        <v>160</v>
      </c>
      <c r="B95" s="24" t="s">
        <v>27</v>
      </c>
      <c r="C95" s="25">
        <v>45486</v>
      </c>
      <c r="D95" s="26" t="s">
        <v>51</v>
      </c>
      <c r="E95" s="26" t="s">
        <v>49</v>
      </c>
      <c r="F95" s="26">
        <v>6</v>
      </c>
      <c r="G95" s="27">
        <v>1250.25</v>
      </c>
      <c r="H95" s="28">
        <v>0.05</v>
      </c>
      <c r="I95" s="29">
        <f t="shared" si="9"/>
        <v>7501.5</v>
      </c>
      <c r="J95" s="29">
        <f t="shared" si="10"/>
        <v>375.07500000000005</v>
      </c>
      <c r="K95" s="29">
        <f t="shared" si="11"/>
        <v>7126.4250000000002</v>
      </c>
      <c r="L95" s="23" t="str">
        <f>_xlfn.XLOOKUP(B95,'Salesperson Master'!$A:$A,'Salesperson Master'!$C:$C,"Not Found")</f>
        <v>East</v>
      </c>
      <c r="M95" s="16" t="str">
        <f t="shared" si="12"/>
        <v>ID is present</v>
      </c>
      <c r="N95" s="16" t="str">
        <f t="shared" si="13"/>
        <v>Low</v>
      </c>
      <c r="O95" s="16" t="str">
        <f>_xlfn.XLOOKUP(B95, 'Salesperson Master'!A:A, 'Salesperson Master'!B:B)</f>
        <v>Karen Harris</v>
      </c>
    </row>
    <row r="96" spans="1:15" ht="15" customHeight="1" thickBot="1" x14ac:dyDescent="0.5">
      <c r="A96" s="17" t="s">
        <v>161</v>
      </c>
      <c r="B96" s="17" t="s">
        <v>19</v>
      </c>
      <c r="C96" s="18">
        <v>45572</v>
      </c>
      <c r="D96" s="19" t="s">
        <v>78</v>
      </c>
      <c r="E96" s="19" t="s">
        <v>56</v>
      </c>
      <c r="F96" s="19">
        <v>1</v>
      </c>
      <c r="G96" s="20">
        <v>642.55999999999995</v>
      </c>
      <c r="H96" s="21">
        <v>0</v>
      </c>
      <c r="I96" s="22">
        <f t="shared" si="9"/>
        <v>642.55999999999995</v>
      </c>
      <c r="J96" s="22">
        <f t="shared" si="10"/>
        <v>0</v>
      </c>
      <c r="K96" s="22">
        <f t="shared" si="11"/>
        <v>642.55999999999995</v>
      </c>
      <c r="L96" s="23" t="str">
        <f>_xlfn.XLOOKUP(B96,'Salesperson Master'!$A:$A,'Salesperson Master'!$C:$C,"Not Found")</f>
        <v>East</v>
      </c>
      <c r="M96" s="16" t="str">
        <f t="shared" si="12"/>
        <v>ID is present</v>
      </c>
      <c r="N96" s="16" t="str">
        <f t="shared" si="13"/>
        <v>Low</v>
      </c>
      <c r="O96" s="16" t="str">
        <f>_xlfn.XLOOKUP(B96, 'Salesperson Master'!A:A, 'Salesperson Master'!B:B)</f>
        <v>Grace Chen</v>
      </c>
    </row>
    <row r="97" spans="1:15" ht="15" customHeight="1" thickBot="1" x14ac:dyDescent="0.5">
      <c r="A97" s="24" t="s">
        <v>162</v>
      </c>
      <c r="B97" s="24" t="s">
        <v>19</v>
      </c>
      <c r="C97" s="25">
        <v>45588</v>
      </c>
      <c r="D97" s="26" t="s">
        <v>66</v>
      </c>
      <c r="E97" s="26" t="s">
        <v>67</v>
      </c>
      <c r="F97" s="26">
        <v>11</v>
      </c>
      <c r="G97" s="27">
        <v>956.73</v>
      </c>
      <c r="H97" s="28">
        <v>0.1</v>
      </c>
      <c r="I97" s="29">
        <f t="shared" si="9"/>
        <v>10524.03</v>
      </c>
      <c r="J97" s="29">
        <f t="shared" si="10"/>
        <v>1052.403</v>
      </c>
      <c r="K97" s="29">
        <f t="shared" si="11"/>
        <v>9471.6270000000004</v>
      </c>
      <c r="L97" s="23" t="str">
        <f>_xlfn.XLOOKUP(B97,'Salesperson Master'!$A:$A,'Salesperson Master'!$C:$C,"Not Found")</f>
        <v>East</v>
      </c>
      <c r="M97" s="16" t="str">
        <f t="shared" si="12"/>
        <v>ID is present</v>
      </c>
      <c r="N97" s="16" t="str">
        <f t="shared" si="13"/>
        <v>Low</v>
      </c>
      <c r="O97" s="16" t="str">
        <f>_xlfn.XLOOKUP(B97, 'Salesperson Master'!A:A, 'Salesperson Master'!B:B)</f>
        <v>Grace Chen</v>
      </c>
    </row>
    <row r="98" spans="1:15" ht="15" customHeight="1" thickBot="1" x14ac:dyDescent="0.5">
      <c r="A98" s="17" t="s">
        <v>163</v>
      </c>
      <c r="B98" s="17" t="s">
        <v>27</v>
      </c>
      <c r="C98" s="18">
        <v>45401</v>
      </c>
      <c r="D98" s="19" t="s">
        <v>89</v>
      </c>
      <c r="E98" s="19" t="s">
        <v>67</v>
      </c>
      <c r="F98" s="19">
        <v>16</v>
      </c>
      <c r="G98" s="20">
        <v>1597.78</v>
      </c>
      <c r="H98" s="21">
        <v>0.25</v>
      </c>
      <c r="I98" s="22">
        <f t="shared" si="9"/>
        <v>25564.48</v>
      </c>
      <c r="J98" s="22">
        <f t="shared" ref="J98:J101" si="14">I98*H98</f>
        <v>6391.12</v>
      </c>
      <c r="K98" s="22">
        <f t="shared" ref="K98:K101" si="15">I98-J98</f>
        <v>19173.36</v>
      </c>
      <c r="L98" s="23" t="str">
        <f>_xlfn.XLOOKUP(B98,'Salesperson Master'!$A:$A,'Salesperson Master'!$C:$C,"Not Found")</f>
        <v>East</v>
      </c>
      <c r="M98" s="16" t="str">
        <f t="shared" si="12"/>
        <v>ID is present</v>
      </c>
      <c r="N98" s="16" t="str">
        <f t="shared" si="13"/>
        <v>High</v>
      </c>
      <c r="O98" s="16" t="str">
        <f>_xlfn.XLOOKUP(B98, 'Salesperson Master'!A:A, 'Salesperson Master'!B:B)</f>
        <v>Karen Harris</v>
      </c>
    </row>
    <row r="99" spans="1:15" ht="15" customHeight="1" thickBot="1" x14ac:dyDescent="0.5">
      <c r="A99" s="24" t="s">
        <v>164</v>
      </c>
      <c r="B99" s="24" t="s">
        <v>29</v>
      </c>
      <c r="C99" s="25">
        <v>45378</v>
      </c>
      <c r="D99" s="26" t="s">
        <v>51</v>
      </c>
      <c r="E99" s="26" t="s">
        <v>49</v>
      </c>
      <c r="F99" s="26">
        <v>3</v>
      </c>
      <c r="G99" s="27">
        <v>603.38</v>
      </c>
      <c r="H99" s="28">
        <v>0.2</v>
      </c>
      <c r="I99" s="29">
        <f t="shared" si="9"/>
        <v>1810.1399999999999</v>
      </c>
      <c r="J99" s="29">
        <f t="shared" si="14"/>
        <v>362.02800000000002</v>
      </c>
      <c r="K99" s="29">
        <f t="shared" si="15"/>
        <v>1448.1119999999999</v>
      </c>
      <c r="L99" s="23" t="str">
        <f>_xlfn.XLOOKUP(B99,'Salesperson Master'!$A:$A,'Salesperson Master'!$C:$C,"Not Found")</f>
        <v>West</v>
      </c>
      <c r="M99" s="16" t="str">
        <f t="shared" si="12"/>
        <v>ID is present</v>
      </c>
      <c r="N99" s="16" t="str">
        <f t="shared" si="13"/>
        <v>High</v>
      </c>
      <c r="O99" s="16" t="str">
        <f>_xlfn.XLOOKUP(B99, 'Salesperson Master'!A:A, 'Salesperson Master'!B:B)</f>
        <v>Leo Martinez</v>
      </c>
    </row>
    <row r="100" spans="1:15" ht="15" customHeight="1" thickBot="1" x14ac:dyDescent="0.5">
      <c r="A100" s="17" t="s">
        <v>165</v>
      </c>
      <c r="B100" s="17" t="s">
        <v>27</v>
      </c>
      <c r="C100" s="18">
        <v>45609</v>
      </c>
      <c r="D100" s="19" t="s">
        <v>60</v>
      </c>
      <c r="E100" s="19" t="s">
        <v>49</v>
      </c>
      <c r="F100" s="19">
        <v>3</v>
      </c>
      <c r="G100" s="20">
        <v>1645.93</v>
      </c>
      <c r="H100" s="21">
        <v>0.25</v>
      </c>
      <c r="I100" s="22">
        <f t="shared" si="9"/>
        <v>4937.79</v>
      </c>
      <c r="J100" s="22">
        <f t="shared" si="14"/>
        <v>1234.4475</v>
      </c>
      <c r="K100" s="22">
        <f t="shared" si="15"/>
        <v>3703.3424999999997</v>
      </c>
      <c r="L100" s="23" t="str">
        <f>_xlfn.XLOOKUP(B100,'Salesperson Master'!$A:$A,'Salesperson Master'!$C:$C,"Not Found")</f>
        <v>East</v>
      </c>
      <c r="M100" s="16" t="str">
        <f t="shared" si="12"/>
        <v>ID is present</v>
      </c>
      <c r="N100" s="16" t="str">
        <f t="shared" si="13"/>
        <v>High</v>
      </c>
      <c r="O100" s="16" t="str">
        <f>_xlfn.XLOOKUP(B100, 'Salesperson Master'!A:A, 'Salesperson Master'!B:B)</f>
        <v>Karen Harris</v>
      </c>
    </row>
    <row r="101" spans="1:15" ht="15" customHeight="1" thickBot="1" x14ac:dyDescent="0.5">
      <c r="A101" s="24" t="s">
        <v>166</v>
      </c>
      <c r="B101" s="24" t="s">
        <v>12</v>
      </c>
      <c r="C101" s="25">
        <v>45636</v>
      </c>
      <c r="D101" s="26" t="s">
        <v>63</v>
      </c>
      <c r="E101" s="26" t="s">
        <v>56</v>
      </c>
      <c r="F101" s="26">
        <v>8</v>
      </c>
      <c r="G101" s="27">
        <v>1622.8</v>
      </c>
      <c r="H101" s="28">
        <v>0</v>
      </c>
      <c r="I101" s="29">
        <f t="shared" si="9"/>
        <v>12982.4</v>
      </c>
      <c r="J101" s="29">
        <f t="shared" si="14"/>
        <v>0</v>
      </c>
      <c r="K101" s="29">
        <f t="shared" si="15"/>
        <v>12982.4</v>
      </c>
      <c r="L101" s="23" t="str">
        <f>_xlfn.XLOOKUP(B101,'Salesperson Master'!$A:$A,'Salesperson Master'!$C:$C,"Not Found")</f>
        <v>West</v>
      </c>
      <c r="M101" s="32" t="str">
        <f t="shared" si="12"/>
        <v>ID is present</v>
      </c>
      <c r="N101" s="32" t="str">
        <f t="shared" si="13"/>
        <v>Low</v>
      </c>
      <c r="O101" s="16" t="str">
        <f>_xlfn.XLOOKUP(B101, 'Salesperson Master'!A:A, 'Salesperson Master'!B:B)</f>
        <v>David Kim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zoomScale="150" zoomScaleNormal="150" workbookViewId="0"/>
  </sheetViews>
  <sheetFormatPr defaultColWidth="8.59765625" defaultRowHeight="14.25" x14ac:dyDescent="0.45"/>
  <cols>
    <col min="1" max="1" width="18" customWidth="1"/>
    <col min="2" max="2" width="22" customWidth="1"/>
    <col min="3" max="3" width="14" customWidth="1"/>
  </cols>
  <sheetData>
    <row r="1" spans="1:3" ht="21.75" customHeight="1" x14ac:dyDescent="0.45">
      <c r="A1" s="1" t="s">
        <v>0</v>
      </c>
      <c r="B1" s="1" t="s">
        <v>1</v>
      </c>
      <c r="C1" s="1" t="s">
        <v>2</v>
      </c>
    </row>
    <row r="2" spans="1:3" ht="15" customHeight="1" x14ac:dyDescent="0.45">
      <c r="A2" s="2" t="s">
        <v>3</v>
      </c>
      <c r="B2" s="3" t="s">
        <v>4</v>
      </c>
      <c r="C2" s="2" t="s">
        <v>5</v>
      </c>
    </row>
    <row r="3" spans="1:3" ht="15" customHeight="1" x14ac:dyDescent="0.45">
      <c r="A3" s="4" t="s">
        <v>6</v>
      </c>
      <c r="B3" s="5" t="s">
        <v>7</v>
      </c>
      <c r="C3" s="4" t="s">
        <v>8</v>
      </c>
    </row>
    <row r="4" spans="1:3" ht="15" customHeight="1" x14ac:dyDescent="0.45">
      <c r="A4" s="6" t="s">
        <v>9</v>
      </c>
      <c r="B4" s="7" t="s">
        <v>10</v>
      </c>
      <c r="C4" s="6" t="s">
        <v>11</v>
      </c>
    </row>
    <row r="5" spans="1:3" ht="15" customHeight="1" x14ac:dyDescent="0.45">
      <c r="A5" s="8" t="s">
        <v>12</v>
      </c>
      <c r="B5" s="9" t="s">
        <v>13</v>
      </c>
      <c r="C5" s="8" t="s">
        <v>14</v>
      </c>
    </row>
    <row r="6" spans="1:3" ht="15" customHeight="1" x14ac:dyDescent="0.45">
      <c r="A6" s="2" t="s">
        <v>15</v>
      </c>
      <c r="B6" s="3" t="s">
        <v>16</v>
      </c>
      <c r="C6" s="2" t="s">
        <v>5</v>
      </c>
    </row>
    <row r="7" spans="1:3" ht="15" customHeight="1" x14ac:dyDescent="0.45">
      <c r="A7" s="4" t="s">
        <v>17</v>
      </c>
      <c r="B7" s="5" t="s">
        <v>18</v>
      </c>
      <c r="C7" s="4" t="s">
        <v>8</v>
      </c>
    </row>
    <row r="8" spans="1:3" ht="15" customHeight="1" x14ac:dyDescent="0.45">
      <c r="A8" s="6" t="s">
        <v>19</v>
      </c>
      <c r="B8" s="7" t="s">
        <v>20</v>
      </c>
      <c r="C8" s="6" t="s">
        <v>11</v>
      </c>
    </row>
    <row r="9" spans="1:3" ht="15" customHeight="1" x14ac:dyDescent="0.45">
      <c r="A9" s="8" t="s">
        <v>21</v>
      </c>
      <c r="B9" s="9" t="s">
        <v>22</v>
      </c>
      <c r="C9" s="8" t="s">
        <v>14</v>
      </c>
    </row>
    <row r="10" spans="1:3" ht="15" customHeight="1" x14ac:dyDescent="0.45">
      <c r="A10" s="2" t="s">
        <v>23</v>
      </c>
      <c r="B10" s="3" t="s">
        <v>24</v>
      </c>
      <c r="C10" s="2" t="s">
        <v>5</v>
      </c>
    </row>
    <row r="11" spans="1:3" ht="15" customHeight="1" x14ac:dyDescent="0.45">
      <c r="A11" s="4" t="s">
        <v>25</v>
      </c>
      <c r="B11" s="5" t="s">
        <v>26</v>
      </c>
      <c r="C11" s="4" t="s">
        <v>8</v>
      </c>
    </row>
    <row r="12" spans="1:3" ht="15" customHeight="1" x14ac:dyDescent="0.45">
      <c r="A12" s="6" t="s">
        <v>27</v>
      </c>
      <c r="B12" s="7" t="s">
        <v>28</v>
      </c>
      <c r="C12" s="6" t="s">
        <v>11</v>
      </c>
    </row>
    <row r="13" spans="1:3" ht="15" customHeight="1" x14ac:dyDescent="0.45">
      <c r="A13" s="8" t="s">
        <v>29</v>
      </c>
      <c r="B13" s="9" t="s">
        <v>30</v>
      </c>
      <c r="C13" s="8" t="s">
        <v>14</v>
      </c>
    </row>
    <row r="14" spans="1:3" ht="15" customHeight="1" x14ac:dyDescent="0.45">
      <c r="A14" s="2" t="s">
        <v>31</v>
      </c>
      <c r="B14" s="3" t="s">
        <v>32</v>
      </c>
      <c r="C14" s="2" t="s">
        <v>5</v>
      </c>
    </row>
    <row r="15" spans="1:3" ht="15" customHeight="1" x14ac:dyDescent="0.45">
      <c r="A15" s="4" t="s">
        <v>33</v>
      </c>
      <c r="B15" s="5" t="s">
        <v>34</v>
      </c>
      <c r="C15" s="4" t="s">
        <v>8</v>
      </c>
    </row>
    <row r="16" spans="1:3" ht="15" customHeight="1" x14ac:dyDescent="0.45">
      <c r="A16" s="6" t="s">
        <v>35</v>
      </c>
      <c r="B16" s="7" t="s">
        <v>36</v>
      </c>
      <c r="C16" s="6" t="s">
        <v>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CE77-1B79-495F-9F3F-6D3C0BC94568}">
  <dimension ref="A2:C8"/>
  <sheetViews>
    <sheetView zoomScale="160" zoomScaleNormal="160" workbookViewId="0">
      <selection activeCell="B4" sqref="B4"/>
    </sheetView>
  </sheetViews>
  <sheetFormatPr defaultRowHeight="14.25" x14ac:dyDescent="0.45"/>
  <cols>
    <col min="1" max="1" width="12.33203125" bestFit="1" customWidth="1"/>
    <col min="2" max="2" width="24.73046875" bestFit="1" customWidth="1"/>
    <col min="3" max="4" width="19.59765625" bestFit="1" customWidth="1"/>
    <col min="5" max="5" width="12.06640625" bestFit="1" customWidth="1"/>
  </cols>
  <sheetData>
    <row r="2" spans="1:3" x14ac:dyDescent="0.45">
      <c r="A2" s="45" t="s">
        <v>171</v>
      </c>
      <c r="B2" s="45"/>
      <c r="C2" s="45"/>
    </row>
    <row r="3" spans="1:3" x14ac:dyDescent="0.45">
      <c r="A3" s="10" t="s">
        <v>167</v>
      </c>
      <c r="B3" t="s">
        <v>169</v>
      </c>
      <c r="C3" t="s">
        <v>170</v>
      </c>
    </row>
    <row r="4" spans="1:3" x14ac:dyDescent="0.45">
      <c r="A4" s="11" t="s">
        <v>11</v>
      </c>
      <c r="B4" s="12">
        <v>48942.915500000003</v>
      </c>
      <c r="C4" s="13">
        <v>0.13103448275862067</v>
      </c>
    </row>
    <row r="5" spans="1:3" x14ac:dyDescent="0.45">
      <c r="A5" s="11" t="s">
        <v>5</v>
      </c>
      <c r="B5" s="12">
        <v>26235.786499999998</v>
      </c>
      <c r="C5" s="13">
        <v>0.10370370370370369</v>
      </c>
    </row>
    <row r="6" spans="1:3" x14ac:dyDescent="0.45">
      <c r="A6" s="11" t="s">
        <v>8</v>
      </c>
      <c r="B6" s="12">
        <v>25099.175499999994</v>
      </c>
      <c r="C6" s="13">
        <v>0.13181818181818181</v>
      </c>
    </row>
    <row r="7" spans="1:3" x14ac:dyDescent="0.45">
      <c r="A7" s="11" t="s">
        <v>14</v>
      </c>
      <c r="B7" s="12">
        <v>20177.05</v>
      </c>
      <c r="C7" s="13">
        <v>0.11590909090909091</v>
      </c>
    </row>
    <row r="8" spans="1:3" x14ac:dyDescent="0.45">
      <c r="A8" s="11" t="s">
        <v>168</v>
      </c>
      <c r="B8" s="12">
        <v>120454.92750000003</v>
      </c>
      <c r="C8" s="13">
        <v>0.12050000000000002</v>
      </c>
    </row>
  </sheetData>
  <mergeCells count="1">
    <mergeCell ref="A2:C2"/>
  </mergeCell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71D5-029B-4750-BBC0-D97F82D6B1CE}">
  <dimension ref="A1:N44"/>
  <sheetViews>
    <sheetView workbookViewId="0">
      <selection activeCell="Q23" sqref="Q23"/>
    </sheetView>
  </sheetViews>
  <sheetFormatPr defaultRowHeight="14.25" x14ac:dyDescent="0.45"/>
  <cols>
    <col min="1" max="1" width="10.06640625" bestFit="1" customWidth="1"/>
    <col min="2" max="2" width="19.1328125" bestFit="1" customWidth="1"/>
    <col min="3" max="12" width="12.19921875" bestFit="1" customWidth="1"/>
    <col min="13" max="14" width="10.06640625" bestFit="1" customWidth="1"/>
    <col min="15" max="18" width="10.86328125" bestFit="1" customWidth="1"/>
    <col min="19" max="24" width="11.19921875" bestFit="1" customWidth="1"/>
    <col min="25" max="30" width="10.86328125" bestFit="1" customWidth="1"/>
    <col min="31" max="40" width="11.46484375" bestFit="1" customWidth="1"/>
    <col min="41" max="47" width="10.73046875" bestFit="1" customWidth="1"/>
    <col min="48" max="53" width="10.1328125" bestFit="1" customWidth="1"/>
    <col min="54" max="62" width="11.1328125" bestFit="1" customWidth="1"/>
    <col min="63" max="66" width="10.9296875" bestFit="1" customWidth="1"/>
    <col min="67" max="74" width="10.73046875" bestFit="1" customWidth="1"/>
    <col min="75" max="79" width="11.19921875" bestFit="1" customWidth="1"/>
    <col min="80" max="88" width="10.9296875" bestFit="1" customWidth="1"/>
    <col min="89" max="89" width="10.46484375" bestFit="1" customWidth="1"/>
  </cols>
  <sheetData>
    <row r="1" spans="1:14" ht="25.5" x14ac:dyDescent="0.75">
      <c r="A1" s="36"/>
      <c r="B1" s="36"/>
      <c r="C1" s="46" t="s">
        <v>175</v>
      </c>
      <c r="D1" s="47"/>
      <c r="E1" s="47"/>
      <c r="F1" s="47"/>
      <c r="G1" s="47"/>
      <c r="H1" s="47"/>
      <c r="I1" s="47"/>
      <c r="J1" s="47"/>
      <c r="K1" s="36"/>
      <c r="L1" s="36"/>
      <c r="M1" s="36"/>
      <c r="N1" s="36"/>
    </row>
    <row r="2" spans="1:14" ht="14.65" thickBot="1" x14ac:dyDescent="0.5"/>
    <row r="3" spans="1:14" ht="14.65" thickBot="1" x14ac:dyDescent="0.5">
      <c r="A3" s="34" t="s">
        <v>173</v>
      </c>
      <c r="B3" s="34" t="s">
        <v>174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14.65" thickBot="1" x14ac:dyDescent="0.5">
      <c r="A4" s="33"/>
      <c r="B4" s="33" t="s">
        <v>177</v>
      </c>
      <c r="C4" s="33" t="s">
        <v>178</v>
      </c>
      <c r="D4" s="33" t="s">
        <v>179</v>
      </c>
      <c r="E4" s="33" t="s">
        <v>180</v>
      </c>
      <c r="F4" s="33" t="s">
        <v>181</v>
      </c>
      <c r="G4" s="33" t="s">
        <v>182</v>
      </c>
      <c r="H4" s="33" t="s">
        <v>183</v>
      </c>
      <c r="I4" s="33" t="s">
        <v>184</v>
      </c>
      <c r="J4" s="33" t="s">
        <v>185</v>
      </c>
      <c r="K4" s="33" t="s">
        <v>186</v>
      </c>
      <c r="L4" s="33" t="s">
        <v>187</v>
      </c>
      <c r="M4" s="33" t="s">
        <v>188</v>
      </c>
      <c r="N4" s="33" t="s">
        <v>168</v>
      </c>
    </row>
    <row r="5" spans="1:14" ht="14.65" thickBot="1" x14ac:dyDescent="0.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ht="14.65" thickBot="1" x14ac:dyDescent="0.5">
      <c r="A6" s="34" t="s">
        <v>167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4" ht="14.65" thickBot="1" x14ac:dyDescent="0.5">
      <c r="A7" s="33" t="s">
        <v>58</v>
      </c>
      <c r="B7" s="35"/>
      <c r="C7" s="35">
        <v>5620.6844999999994</v>
      </c>
      <c r="D7" s="35">
        <v>10612.56</v>
      </c>
      <c r="E7" s="35">
        <v>14783.849999999999</v>
      </c>
      <c r="F7" s="35">
        <v>4178.2170000000006</v>
      </c>
      <c r="G7" s="35">
        <v>23089.537499999999</v>
      </c>
      <c r="H7" s="35"/>
      <c r="I7" s="35">
        <v>5898.2</v>
      </c>
      <c r="J7" s="35"/>
      <c r="K7" s="35">
        <v>9073.5750000000007</v>
      </c>
      <c r="L7" s="35"/>
      <c r="M7" s="35"/>
      <c r="N7" s="35">
        <v>73256.623999999996</v>
      </c>
    </row>
    <row r="8" spans="1:14" ht="14.65" thickBot="1" x14ac:dyDescent="0.5">
      <c r="A8" s="33" t="s">
        <v>70</v>
      </c>
      <c r="B8" s="35">
        <v>12532.7925</v>
      </c>
      <c r="C8" s="35">
        <v>6305.5125000000007</v>
      </c>
      <c r="D8" s="35"/>
      <c r="E8" s="35"/>
      <c r="F8" s="35">
        <v>21718.53</v>
      </c>
      <c r="G8" s="35"/>
      <c r="H8" s="35"/>
      <c r="I8" s="35"/>
      <c r="J8" s="35"/>
      <c r="K8" s="35"/>
      <c r="L8" s="35"/>
      <c r="M8" s="35">
        <v>3129.84</v>
      </c>
      <c r="N8" s="35">
        <v>43686.675000000003</v>
      </c>
    </row>
    <row r="9" spans="1:14" ht="14.65" thickBot="1" x14ac:dyDescent="0.5">
      <c r="A9" s="33" t="s">
        <v>63</v>
      </c>
      <c r="B9" s="35"/>
      <c r="C9" s="35"/>
      <c r="D9" s="35">
        <v>2256.41</v>
      </c>
      <c r="E9" s="35">
        <v>11536.931</v>
      </c>
      <c r="F9" s="35">
        <v>12686.464</v>
      </c>
      <c r="G9" s="35"/>
      <c r="H9" s="35"/>
      <c r="I9" s="35"/>
      <c r="J9" s="35"/>
      <c r="K9" s="35"/>
      <c r="L9" s="35">
        <v>2504.0659999999998</v>
      </c>
      <c r="M9" s="35">
        <v>17813.401999999998</v>
      </c>
      <c r="N9" s="35">
        <v>46797.273000000001</v>
      </c>
    </row>
    <row r="10" spans="1:14" ht="14.65" thickBot="1" x14ac:dyDescent="0.5">
      <c r="A10" s="33" t="s">
        <v>75</v>
      </c>
      <c r="B10" s="35"/>
      <c r="C10" s="35"/>
      <c r="D10" s="35">
        <v>30341.599999999999</v>
      </c>
      <c r="E10" s="35"/>
      <c r="F10" s="35">
        <v>44260.546999999999</v>
      </c>
      <c r="G10" s="35"/>
      <c r="H10" s="35"/>
      <c r="I10" s="35">
        <v>6426.8099999999995</v>
      </c>
      <c r="J10" s="35"/>
      <c r="K10" s="35">
        <v>27693.369999999995</v>
      </c>
      <c r="L10" s="35"/>
      <c r="M10" s="35"/>
      <c r="N10" s="35">
        <v>108722.32699999999</v>
      </c>
    </row>
    <row r="11" spans="1:14" ht="14.65" thickBot="1" x14ac:dyDescent="0.5">
      <c r="A11" s="33" t="s">
        <v>48</v>
      </c>
      <c r="B11" s="35"/>
      <c r="C11" s="35">
        <v>4747.8599999999997</v>
      </c>
      <c r="D11" s="35"/>
      <c r="E11" s="35">
        <v>5499.6165000000001</v>
      </c>
      <c r="F11" s="35">
        <v>559.65</v>
      </c>
      <c r="G11" s="35"/>
      <c r="H11" s="35"/>
      <c r="I11" s="35">
        <v>13129.965</v>
      </c>
      <c r="J11" s="35">
        <v>5585.22</v>
      </c>
      <c r="K11" s="35">
        <v>1509.7445</v>
      </c>
      <c r="L11" s="35"/>
      <c r="M11" s="35"/>
      <c r="N11" s="35">
        <v>31032.056000000004</v>
      </c>
    </row>
    <row r="12" spans="1:14" ht="14.65" thickBot="1" x14ac:dyDescent="0.5">
      <c r="A12" s="33" t="s">
        <v>53</v>
      </c>
      <c r="B12" s="35">
        <v>29033.2075</v>
      </c>
      <c r="C12" s="35">
        <v>10288.964999999998</v>
      </c>
      <c r="D12" s="35"/>
      <c r="E12" s="35">
        <v>2737.8</v>
      </c>
      <c r="F12" s="35"/>
      <c r="G12" s="35"/>
      <c r="H12" s="35">
        <v>17513.917999999998</v>
      </c>
      <c r="I12" s="35"/>
      <c r="J12" s="35"/>
      <c r="K12" s="35"/>
      <c r="L12" s="35">
        <v>15849.371999999999</v>
      </c>
      <c r="M12" s="35">
        <v>2828.55</v>
      </c>
      <c r="N12" s="35">
        <v>78251.8125</v>
      </c>
    </row>
    <row r="13" spans="1:14" ht="14.65" thickBot="1" x14ac:dyDescent="0.5">
      <c r="A13" s="33" t="s">
        <v>55</v>
      </c>
      <c r="B13" s="35">
        <v>4085.0325000000003</v>
      </c>
      <c r="C13" s="35">
        <v>34400.239000000001</v>
      </c>
      <c r="D13" s="35"/>
      <c r="E13" s="35"/>
      <c r="F13" s="35">
        <v>1808.6385</v>
      </c>
      <c r="G13" s="35">
        <v>9737.4424999999992</v>
      </c>
      <c r="H13" s="35">
        <v>5217.8999999999996</v>
      </c>
      <c r="I13" s="35"/>
      <c r="J13" s="35"/>
      <c r="K13" s="35">
        <v>28034.441999999995</v>
      </c>
      <c r="L13" s="35"/>
      <c r="M13" s="35"/>
      <c r="N13" s="35">
        <v>83283.694499999998</v>
      </c>
    </row>
    <row r="14" spans="1:14" ht="14.65" thickBot="1" x14ac:dyDescent="0.5">
      <c r="A14" s="33" t="s">
        <v>89</v>
      </c>
      <c r="B14" s="35"/>
      <c r="C14" s="35">
        <v>4269.8159999999998</v>
      </c>
      <c r="D14" s="35">
        <v>26603.317000000003</v>
      </c>
      <c r="E14" s="35">
        <v>19173.36</v>
      </c>
      <c r="F14" s="35"/>
      <c r="G14" s="35">
        <v>12829.180000000002</v>
      </c>
      <c r="H14" s="35"/>
      <c r="I14" s="35">
        <v>29132.079999999998</v>
      </c>
      <c r="J14" s="35"/>
      <c r="K14" s="35">
        <v>4440.4000000000005</v>
      </c>
      <c r="L14" s="35">
        <v>9469.2005000000008</v>
      </c>
      <c r="M14" s="35"/>
      <c r="N14" s="35">
        <v>105917.3535</v>
      </c>
    </row>
    <row r="15" spans="1:14" ht="14.65" thickBot="1" x14ac:dyDescent="0.5">
      <c r="A15" s="33" t="s">
        <v>94</v>
      </c>
      <c r="B15" s="35"/>
      <c r="C15" s="35"/>
      <c r="D15" s="35"/>
      <c r="E15" s="35"/>
      <c r="F15" s="35"/>
      <c r="G15" s="35">
        <v>8256.8850000000002</v>
      </c>
      <c r="H15" s="35">
        <v>3605.8</v>
      </c>
      <c r="I15" s="35"/>
      <c r="J15" s="35">
        <v>11799.0435</v>
      </c>
      <c r="K15" s="35"/>
      <c r="L15" s="35"/>
      <c r="M15" s="35">
        <v>4177.125</v>
      </c>
      <c r="N15" s="35">
        <v>27838.853500000001</v>
      </c>
    </row>
    <row r="16" spans="1:14" ht="14.65" thickBot="1" x14ac:dyDescent="0.5">
      <c r="A16" s="33" t="s">
        <v>66</v>
      </c>
      <c r="B16" s="35"/>
      <c r="C16" s="35">
        <v>7602.9449999999997</v>
      </c>
      <c r="D16" s="35"/>
      <c r="E16" s="35">
        <v>409.72799999999995</v>
      </c>
      <c r="F16" s="35"/>
      <c r="G16" s="35">
        <v>14779.71</v>
      </c>
      <c r="H16" s="35">
        <v>19243.64</v>
      </c>
      <c r="I16" s="35">
        <v>3981.1195000000002</v>
      </c>
      <c r="J16" s="35"/>
      <c r="K16" s="35">
        <v>9471.6270000000004</v>
      </c>
      <c r="L16" s="35"/>
      <c r="M16" s="35"/>
      <c r="N16" s="35">
        <v>55488.769500000002</v>
      </c>
    </row>
    <row r="17" spans="1:14" ht="14.65" thickBot="1" x14ac:dyDescent="0.5">
      <c r="A17" s="33" t="s">
        <v>84</v>
      </c>
      <c r="B17" s="35"/>
      <c r="C17" s="35">
        <v>19695</v>
      </c>
      <c r="D17" s="35"/>
      <c r="E17" s="35"/>
      <c r="F17" s="35">
        <v>14300.0175</v>
      </c>
      <c r="G17" s="35"/>
      <c r="H17" s="35"/>
      <c r="I17" s="35"/>
      <c r="J17" s="35"/>
      <c r="K17" s="35"/>
      <c r="L17" s="35"/>
      <c r="M17" s="35">
        <v>10011.366</v>
      </c>
      <c r="N17" s="35">
        <v>44006.383500000004</v>
      </c>
    </row>
    <row r="18" spans="1:14" ht="14.65" thickBot="1" x14ac:dyDescent="0.5">
      <c r="A18" s="33" t="s">
        <v>81</v>
      </c>
      <c r="B18" s="35"/>
      <c r="C18" s="35">
        <v>3469.2479999999996</v>
      </c>
      <c r="D18" s="35">
        <v>21755.07</v>
      </c>
      <c r="E18" s="35"/>
      <c r="F18" s="35"/>
      <c r="G18" s="35"/>
      <c r="H18" s="35"/>
      <c r="I18" s="35"/>
      <c r="J18" s="35"/>
      <c r="K18" s="35"/>
      <c r="L18" s="35"/>
      <c r="M18" s="35">
        <v>18461.352000000003</v>
      </c>
      <c r="N18" s="35">
        <v>43685.67</v>
      </c>
    </row>
    <row r="19" spans="1:14" ht="14.65" thickBot="1" x14ac:dyDescent="0.5">
      <c r="A19" s="33" t="s">
        <v>51</v>
      </c>
      <c r="B19" s="35">
        <v>538.20799999999997</v>
      </c>
      <c r="C19" s="35">
        <v>3556.386</v>
      </c>
      <c r="D19" s="35">
        <v>1448.1119999999999</v>
      </c>
      <c r="E19" s="35"/>
      <c r="F19" s="35">
        <v>2514.8779999999997</v>
      </c>
      <c r="G19" s="35"/>
      <c r="H19" s="35">
        <v>7126.4250000000002</v>
      </c>
      <c r="I19" s="35"/>
      <c r="J19" s="35"/>
      <c r="K19" s="35"/>
      <c r="L19" s="35"/>
      <c r="M19" s="35">
        <v>3713.43</v>
      </c>
      <c r="N19" s="35">
        <v>18897.438999999998</v>
      </c>
    </row>
    <row r="20" spans="1:14" ht="14.65" thickBot="1" x14ac:dyDescent="0.5">
      <c r="A20" s="33" t="s">
        <v>78</v>
      </c>
      <c r="B20" s="35">
        <v>7197.16</v>
      </c>
      <c r="C20" s="35"/>
      <c r="D20" s="35"/>
      <c r="E20" s="35">
        <v>26442.592000000001</v>
      </c>
      <c r="F20" s="35"/>
      <c r="G20" s="35"/>
      <c r="H20" s="35"/>
      <c r="I20" s="35"/>
      <c r="J20" s="35">
        <v>17502.400000000001</v>
      </c>
      <c r="K20" s="35">
        <v>642.55999999999995</v>
      </c>
      <c r="L20" s="35"/>
      <c r="M20" s="35">
        <v>12523.32</v>
      </c>
      <c r="N20" s="35">
        <v>64308.031999999999</v>
      </c>
    </row>
    <row r="21" spans="1:14" ht="14.65" thickBot="1" x14ac:dyDescent="0.5">
      <c r="A21" s="33" t="s">
        <v>60</v>
      </c>
      <c r="B21" s="35"/>
      <c r="C21" s="35"/>
      <c r="D21" s="35">
        <v>5227.3560000000007</v>
      </c>
      <c r="E21" s="35"/>
      <c r="F21" s="35"/>
      <c r="G21" s="35"/>
      <c r="H21" s="35"/>
      <c r="I21" s="35">
        <v>23875.566000000003</v>
      </c>
      <c r="J21" s="35"/>
      <c r="K21" s="35"/>
      <c r="L21" s="35">
        <v>28060.717499999999</v>
      </c>
      <c r="M21" s="35"/>
      <c r="N21" s="35">
        <v>57163.639500000005</v>
      </c>
    </row>
    <row r="22" spans="1:14" ht="14.65" thickBot="1" x14ac:dyDescent="0.5">
      <c r="A22" s="33" t="s">
        <v>168</v>
      </c>
      <c r="B22" s="35">
        <v>53386.400500000003</v>
      </c>
      <c r="C22" s="35">
        <v>99956.655999999988</v>
      </c>
      <c r="D22" s="35">
        <v>98244.424999999988</v>
      </c>
      <c r="E22" s="35">
        <v>80583.877500000002</v>
      </c>
      <c r="F22" s="35">
        <v>102026.942</v>
      </c>
      <c r="G22" s="35">
        <v>68692.755000000005</v>
      </c>
      <c r="H22" s="35">
        <v>52707.683000000005</v>
      </c>
      <c r="I22" s="35">
        <v>82443.7405</v>
      </c>
      <c r="J22" s="35">
        <v>34886.663500000002</v>
      </c>
      <c r="K22" s="35">
        <v>80865.718499999988</v>
      </c>
      <c r="L22" s="35">
        <v>55883.356</v>
      </c>
      <c r="M22" s="35">
        <v>72658.384999999995</v>
      </c>
      <c r="N22" s="35">
        <v>882336.60250000004</v>
      </c>
    </row>
    <row r="24" spans="1:14" ht="14.65" thickBot="1" x14ac:dyDescent="0.5"/>
    <row r="25" spans="1:14" ht="14.65" thickBot="1" x14ac:dyDescent="0.5">
      <c r="A25" s="34" t="s">
        <v>167</v>
      </c>
      <c r="B25" s="33" t="s">
        <v>173</v>
      </c>
    </row>
    <row r="26" spans="1:14" ht="14.65" thickBot="1" x14ac:dyDescent="0.5">
      <c r="A26" s="33" t="s">
        <v>177</v>
      </c>
      <c r="B26" s="35">
        <v>53386.400500000003</v>
      </c>
    </row>
    <row r="27" spans="1:14" ht="14.65" thickBot="1" x14ac:dyDescent="0.5">
      <c r="A27" s="33" t="s">
        <v>178</v>
      </c>
      <c r="B27" s="35">
        <v>99956.655999999988</v>
      </c>
    </row>
    <row r="28" spans="1:14" ht="14.65" thickBot="1" x14ac:dyDescent="0.5">
      <c r="A28" s="33" t="s">
        <v>179</v>
      </c>
      <c r="B28" s="35">
        <v>98244.424999999988</v>
      </c>
    </row>
    <row r="29" spans="1:14" ht="14.65" thickBot="1" x14ac:dyDescent="0.5">
      <c r="A29" s="33" t="s">
        <v>180</v>
      </c>
      <c r="B29" s="35">
        <v>80583.877500000002</v>
      </c>
    </row>
    <row r="30" spans="1:14" ht="14.65" thickBot="1" x14ac:dyDescent="0.5">
      <c r="A30" s="33" t="s">
        <v>181</v>
      </c>
      <c r="B30" s="35">
        <v>102026.94199999998</v>
      </c>
    </row>
    <row r="31" spans="1:14" ht="14.65" thickBot="1" x14ac:dyDescent="0.5">
      <c r="A31" s="33" t="s">
        <v>182</v>
      </c>
      <c r="B31" s="35">
        <v>68692.755000000005</v>
      </c>
    </row>
    <row r="32" spans="1:14" ht="14.65" thickBot="1" x14ac:dyDescent="0.5">
      <c r="A32" s="33" t="s">
        <v>183</v>
      </c>
      <c r="B32" s="35">
        <v>52707.683000000005</v>
      </c>
    </row>
    <row r="33" spans="1:2" ht="14.65" thickBot="1" x14ac:dyDescent="0.5">
      <c r="A33" s="33" t="s">
        <v>184</v>
      </c>
      <c r="B33" s="35">
        <v>82443.740499999985</v>
      </c>
    </row>
    <row r="34" spans="1:2" ht="14.65" thickBot="1" x14ac:dyDescent="0.5">
      <c r="A34" s="33" t="s">
        <v>185</v>
      </c>
      <c r="B34" s="35">
        <v>34886.663500000002</v>
      </c>
    </row>
    <row r="35" spans="1:2" ht="14.65" thickBot="1" x14ac:dyDescent="0.5">
      <c r="A35" s="33" t="s">
        <v>186</v>
      </c>
      <c r="B35" s="35">
        <v>80865.718499999988</v>
      </c>
    </row>
    <row r="36" spans="1:2" ht="14.65" thickBot="1" x14ac:dyDescent="0.5">
      <c r="A36" s="33" t="s">
        <v>187</v>
      </c>
      <c r="B36" s="35">
        <v>55883.355999999992</v>
      </c>
    </row>
    <row r="37" spans="1:2" ht="14.65" thickBot="1" x14ac:dyDescent="0.5">
      <c r="A37" s="33" t="s">
        <v>188</v>
      </c>
      <c r="B37" s="35">
        <v>72658.385000000009</v>
      </c>
    </row>
    <row r="38" spans="1:2" ht="14.65" thickBot="1" x14ac:dyDescent="0.5">
      <c r="A38" s="33" t="s">
        <v>168</v>
      </c>
      <c r="B38" s="35">
        <v>882336.60249999992</v>
      </c>
    </row>
    <row r="40" spans="1:2" ht="14.65" thickBot="1" x14ac:dyDescent="0.5"/>
    <row r="41" spans="1:2" ht="14.65" thickBot="1" x14ac:dyDescent="0.5"/>
    <row r="42" spans="1:2" ht="14.65" thickBot="1" x14ac:dyDescent="0.5"/>
    <row r="44" spans="1:2" ht="14.65" thickBot="1" x14ac:dyDescent="0.5"/>
  </sheetData>
  <mergeCells count="1">
    <mergeCell ref="C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EFD0-554A-4F89-898B-949E7DB0197E}">
  <dimension ref="A3:B19"/>
  <sheetViews>
    <sheetView workbookViewId="0">
      <selection activeCell="O35" sqref="O35"/>
    </sheetView>
  </sheetViews>
  <sheetFormatPr defaultRowHeight="14.25" x14ac:dyDescent="0.45"/>
  <cols>
    <col min="1" max="1" width="12.1328125" bestFit="1" customWidth="1"/>
    <col min="2" max="2" width="19.9296875" bestFit="1" customWidth="1"/>
    <col min="3" max="3" width="20.19921875" bestFit="1" customWidth="1"/>
  </cols>
  <sheetData>
    <row r="3" spans="1:2" x14ac:dyDescent="0.45">
      <c r="A3" s="10" t="s">
        <v>167</v>
      </c>
      <c r="B3" t="s">
        <v>173</v>
      </c>
    </row>
    <row r="4" spans="1:2" x14ac:dyDescent="0.45">
      <c r="A4" s="11" t="s">
        <v>34</v>
      </c>
      <c r="B4" s="12">
        <v>24552.964499999998</v>
      </c>
    </row>
    <row r="5" spans="1:2" x14ac:dyDescent="0.45">
      <c r="A5" s="11" t="s">
        <v>26</v>
      </c>
      <c r="B5" s="12">
        <v>32579.024999999998</v>
      </c>
    </row>
    <row r="6" spans="1:2" x14ac:dyDescent="0.45">
      <c r="A6" s="11" t="s">
        <v>18</v>
      </c>
      <c r="B6" s="12">
        <v>34160.244500000001</v>
      </c>
    </row>
    <row r="7" spans="1:2" x14ac:dyDescent="0.45">
      <c r="A7" s="11" t="s">
        <v>32</v>
      </c>
      <c r="B7" s="12">
        <v>41705.034499999994</v>
      </c>
    </row>
    <row r="8" spans="1:2" x14ac:dyDescent="0.45">
      <c r="A8" s="11" t="s">
        <v>20</v>
      </c>
      <c r="B8" s="12">
        <v>51024.201499999996</v>
      </c>
    </row>
    <row r="9" spans="1:2" x14ac:dyDescent="0.45">
      <c r="A9" s="11" t="s">
        <v>22</v>
      </c>
      <c r="B9" s="12">
        <v>52660.325499999999</v>
      </c>
    </row>
    <row r="10" spans="1:2" x14ac:dyDescent="0.45">
      <c r="A10" s="11" t="s">
        <v>4</v>
      </c>
      <c r="B10" s="12">
        <v>54256.069999999992</v>
      </c>
    </row>
    <row r="11" spans="1:2" x14ac:dyDescent="0.45">
      <c r="A11" s="11" t="s">
        <v>36</v>
      </c>
      <c r="B11" s="12">
        <v>57535.618000000002</v>
      </c>
    </row>
    <row r="12" spans="1:2" x14ac:dyDescent="0.45">
      <c r="A12" s="11" t="s">
        <v>30</v>
      </c>
      <c r="B12" s="12">
        <v>63711.9755</v>
      </c>
    </row>
    <row r="13" spans="1:2" x14ac:dyDescent="0.45">
      <c r="A13" s="11" t="s">
        <v>24</v>
      </c>
      <c r="B13" s="12">
        <v>65775.099500000011</v>
      </c>
    </row>
    <row r="14" spans="1:2" x14ac:dyDescent="0.45">
      <c r="A14" s="11" t="s">
        <v>7</v>
      </c>
      <c r="B14" s="12">
        <v>72152.310499999992</v>
      </c>
    </row>
    <row r="15" spans="1:2" x14ac:dyDescent="0.45">
      <c r="A15" s="11" t="s">
        <v>13</v>
      </c>
      <c r="B15" s="12">
        <v>74668.559000000008</v>
      </c>
    </row>
    <row r="16" spans="1:2" x14ac:dyDescent="0.45">
      <c r="A16" s="11" t="s">
        <v>10</v>
      </c>
      <c r="B16" s="12">
        <v>75726.857000000004</v>
      </c>
    </row>
    <row r="17" spans="1:2" x14ac:dyDescent="0.45">
      <c r="A17" s="11" t="s">
        <v>16</v>
      </c>
      <c r="B17" s="12">
        <v>77614.159500000009</v>
      </c>
    </row>
    <row r="18" spans="1:2" x14ac:dyDescent="0.45">
      <c r="A18" s="11" t="s">
        <v>28</v>
      </c>
      <c r="B18" s="12">
        <v>104214.158</v>
      </c>
    </row>
    <row r="19" spans="1:2" x14ac:dyDescent="0.45">
      <c r="A19" s="11" t="s">
        <v>168</v>
      </c>
      <c r="B19" s="12">
        <v>882336.60249999992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1575-DDD0-46F2-A3BD-514159ED4EE6}">
  <dimension ref="A3:M6"/>
  <sheetViews>
    <sheetView topLeftCell="B1" zoomScale="140" zoomScaleNormal="140" workbookViewId="0">
      <selection activeCell="M1" sqref="M1:M1048576"/>
    </sheetView>
  </sheetViews>
  <sheetFormatPr defaultRowHeight="14.25" x14ac:dyDescent="0.45"/>
  <cols>
    <col min="1" max="1" width="19.9296875" bestFit="1" customWidth="1"/>
    <col min="2" max="2" width="21.73046875" bestFit="1" customWidth="1"/>
    <col min="3" max="3" width="24.19921875" bestFit="1" customWidth="1"/>
    <col min="4" max="4" width="19.1328125" bestFit="1" customWidth="1"/>
    <col min="5" max="5" width="15.19921875" bestFit="1" customWidth="1"/>
    <col min="6" max="6" width="14.265625" bestFit="1" customWidth="1"/>
    <col min="8" max="8" width="14.59765625" bestFit="1" customWidth="1"/>
    <col min="9" max="9" width="13.53125" bestFit="1" customWidth="1"/>
    <col min="10" max="10" width="11.6640625" bestFit="1" customWidth="1"/>
    <col min="11" max="11" width="13.59765625" bestFit="1" customWidth="1"/>
    <col min="12" max="12" width="12.73046875" bestFit="1" customWidth="1"/>
    <col min="13" max="13" width="17.796875" bestFit="1" customWidth="1"/>
  </cols>
  <sheetData>
    <row r="3" spans="1:13" x14ac:dyDescent="0.45">
      <c r="A3" t="s">
        <v>173</v>
      </c>
      <c r="B3" t="s">
        <v>189</v>
      </c>
      <c r="C3" t="s">
        <v>169</v>
      </c>
      <c r="D3" t="s">
        <v>170</v>
      </c>
      <c r="E3" t="s">
        <v>190</v>
      </c>
      <c r="F3" t="s">
        <v>191</v>
      </c>
      <c r="H3" t="s">
        <v>192</v>
      </c>
    </row>
    <row r="4" spans="1:13" x14ac:dyDescent="0.45">
      <c r="A4" s="12">
        <v>882336.60249999992</v>
      </c>
      <c r="B4" s="12">
        <v>1002791.5299999999</v>
      </c>
      <c r="C4" s="12">
        <v>120454.92750000005</v>
      </c>
      <c r="D4" s="13">
        <v>0.12050000000000007</v>
      </c>
      <c r="E4">
        <v>100</v>
      </c>
      <c r="F4">
        <v>1032</v>
      </c>
      <c r="H4" t="s">
        <v>193</v>
      </c>
      <c r="I4" t="s">
        <v>194</v>
      </c>
      <c r="J4" t="s">
        <v>195</v>
      </c>
      <c r="K4" t="s">
        <v>196</v>
      </c>
      <c r="L4" t="s">
        <v>197</v>
      </c>
      <c r="M4" t="s">
        <v>198</v>
      </c>
    </row>
    <row r="5" spans="1:13" x14ac:dyDescent="0.45">
      <c r="H5" s="43">
        <f>GETPIVOTDATA("Sum of Net Amount ($)",$A$3)</f>
        <v>882336.60249999992</v>
      </c>
      <c r="I5" s="42">
        <f>GETPIVOTDATA("Sum of Order Amount ($)",$A$3)</f>
        <v>1002791.5299999999</v>
      </c>
      <c r="J5" s="41">
        <f>GETPIVOTDATA("Sum of Discount Amount ($)",$A$3)</f>
        <v>120454.92750000005</v>
      </c>
      <c r="K5" s="40">
        <f>GETPIVOTDATA("Average of Discount %",$A$3)</f>
        <v>0.12050000000000007</v>
      </c>
      <c r="L5" s="44">
        <f>GETPIVOTDATA("Count of Order ID",$A$3)</f>
        <v>100</v>
      </c>
      <c r="M5" s="44">
        <f>GETPIVOTDATA("Sum of Quantity",$A$3)</f>
        <v>1032</v>
      </c>
    </row>
    <row r="6" spans="1:13" x14ac:dyDescent="0.45">
      <c r="K6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A25B-F5D3-43FE-B053-CB9E51728231}">
  <dimension ref="X4:X31"/>
  <sheetViews>
    <sheetView tabSelected="1" zoomScale="110" zoomScaleNormal="110" workbookViewId="0">
      <selection sqref="A1:XFD1048576"/>
    </sheetView>
  </sheetViews>
  <sheetFormatPr defaultRowHeight="14.25" x14ac:dyDescent="0.45"/>
  <cols>
    <col min="1" max="1" width="3.59765625" style="48" customWidth="1"/>
    <col min="2" max="2" width="17.06640625" style="48" customWidth="1"/>
    <col min="3" max="3" width="3.59765625" style="48" customWidth="1"/>
    <col min="4" max="16384" width="9.06640625" style="48"/>
  </cols>
  <sheetData>
    <row r="4" s="48" customFormat="1" x14ac:dyDescent="0.45"/>
    <row r="10" s="48" customFormat="1" x14ac:dyDescent="0.45"/>
    <row r="11" s="48" customFormat="1" x14ac:dyDescent="0.45"/>
    <row r="30" spans="24:24" s="48" customFormat="1" ht="87.4" customHeight="1" x14ac:dyDescent="0.45">
      <c r="X30" s="48" t="s">
        <v>199</v>
      </c>
    </row>
    <row r="31" spans="24:24" s="48" customFormat="1" ht="74.650000000000006" customHeight="1" x14ac:dyDescent="0.4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 Data</vt:lpstr>
      <vt:lpstr>Salesperson Master</vt:lpstr>
      <vt:lpstr>Discount per region</vt:lpstr>
      <vt:lpstr> Regenew trend</vt:lpstr>
      <vt:lpstr>Sales performance</vt:lpstr>
      <vt:lpstr>KPI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sandeep kumar das</cp:lastModifiedBy>
  <cp:revision>0</cp:revision>
  <dcterms:created xsi:type="dcterms:W3CDTF">2026-03-26T10:17:03Z</dcterms:created>
  <dcterms:modified xsi:type="dcterms:W3CDTF">2026-04-05T15:31:49Z</dcterms:modified>
  <dc:language>en-US</dc:language>
</cp:coreProperties>
</file>